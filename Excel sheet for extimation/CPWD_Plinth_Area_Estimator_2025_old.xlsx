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AutoHotkey\Final versions of ahk files\OFFICE PRODUCTIVITY PALETTE &amp; ACTION HUB 2.0.0\Excel sheet for extimation\"/>
    </mc:Choice>
  </mc:AlternateContent>
  <bookViews>
    <workbookView xWindow="0" yWindow="0" windowWidth="12252" windowHeight="4500"/>
  </bookViews>
  <sheets>
    <sheet name="Estimator" sheetId="1" r:id="rId1"/>
    <sheet name="01 Building Cost" sheetId="2" r:id="rId2"/>
    <sheet name="02 Services" sheetId="3" r:id="rId3"/>
    <sheet name="03 TPQA Consultancy" sheetId="4" r:id="rId4"/>
    <sheet name="04 Lifts" sheetId="5" r:id="rId5"/>
    <sheet name="05 RCC Water Tank" sheetId="6" r:id="rId6"/>
    <sheet name="06 Development of Site" sheetId="7" r:id="rId7"/>
    <sheet name="07 Specialized E&amp;M" sheetId="8" r:id="rId8"/>
    <sheet name="08 Notes" sheetId="9" r:id="rId9"/>
    <sheet name="09 Cost Index" sheetId="10" r:id="rId10"/>
    <sheet name="10 Source Check" sheetId="11" r:id="rId11"/>
  </sheets>
  <calcPr calcId="162913"/>
</workbook>
</file>

<file path=xl/calcChain.xml><?xml version="1.0" encoding="utf-8"?>
<calcChain xmlns="http://schemas.openxmlformats.org/spreadsheetml/2006/main">
  <c r="I17" i="5" l="1"/>
  <c r="H17" i="5"/>
  <c r="I16" i="5"/>
  <c r="H16" i="5"/>
  <c r="I15" i="5"/>
  <c r="H15" i="5"/>
  <c r="I14" i="5"/>
  <c r="H14" i="5"/>
  <c r="I13" i="5"/>
  <c r="H13" i="5"/>
  <c r="I12" i="5"/>
  <c r="H12" i="5"/>
  <c r="I11" i="5"/>
  <c r="H11" i="5"/>
  <c r="I10" i="5"/>
  <c r="H10" i="5"/>
  <c r="I9" i="5"/>
  <c r="H9" i="5"/>
  <c r="I8" i="5"/>
  <c r="H8" i="5"/>
  <c r="I7" i="5"/>
  <c r="H7" i="5"/>
  <c r="I6" i="5"/>
  <c r="H6" i="5"/>
  <c r="I5" i="5"/>
  <c r="H5" i="5"/>
  <c r="G164" i="1"/>
  <c r="F164" i="1"/>
  <c r="E164" i="1"/>
  <c r="G163" i="1"/>
  <c r="F163" i="1"/>
  <c r="E163" i="1"/>
  <c r="C163" i="1"/>
  <c r="G162" i="1"/>
  <c r="F162" i="1"/>
  <c r="E162" i="1"/>
  <c r="G161" i="1"/>
  <c r="F161" i="1"/>
  <c r="E161" i="1"/>
  <c r="G160" i="1"/>
  <c r="F160" i="1"/>
  <c r="E160" i="1"/>
  <c r="G159" i="1"/>
  <c r="F159" i="1"/>
  <c r="E159" i="1"/>
  <c r="G158" i="1"/>
  <c r="F158" i="1"/>
  <c r="E158" i="1"/>
  <c r="G157" i="1"/>
  <c r="F157" i="1"/>
  <c r="E157" i="1"/>
  <c r="G156" i="1"/>
  <c r="F156" i="1"/>
  <c r="E156" i="1"/>
  <c r="G155" i="1"/>
  <c r="F155" i="1"/>
  <c r="E155" i="1"/>
  <c r="G154" i="1"/>
  <c r="F154" i="1"/>
  <c r="F153" i="1"/>
  <c r="G153" i="1" s="1"/>
  <c r="G152" i="1"/>
  <c r="F152" i="1"/>
  <c r="A150" i="1"/>
  <c r="G149" i="1"/>
  <c r="F149" i="1"/>
  <c r="C149" i="1"/>
  <c r="G148" i="1"/>
  <c r="F148" i="1"/>
  <c r="E148" i="1"/>
  <c r="G147" i="1"/>
  <c r="F147" i="1"/>
  <c r="E147" i="1"/>
  <c r="C147" i="1"/>
  <c r="G146" i="1"/>
  <c r="F146" i="1"/>
  <c r="E146" i="1"/>
  <c r="C146" i="1"/>
  <c r="G145" i="1"/>
  <c r="F145" i="1"/>
  <c r="E145" i="1"/>
  <c r="C145" i="1"/>
  <c r="G144" i="1"/>
  <c r="F144" i="1"/>
  <c r="E144" i="1"/>
  <c r="C144" i="1"/>
  <c r="G142" i="1"/>
  <c r="F142" i="1"/>
  <c r="E142" i="1"/>
  <c r="G141" i="1"/>
  <c r="F141" i="1"/>
  <c r="E141" i="1"/>
  <c r="G140" i="1"/>
  <c r="F140" i="1"/>
  <c r="E140" i="1"/>
  <c r="C140" i="1"/>
  <c r="G139" i="1"/>
  <c r="F139" i="1"/>
  <c r="E139" i="1"/>
  <c r="C139" i="1"/>
  <c r="G138" i="1"/>
  <c r="F138" i="1"/>
  <c r="E138" i="1"/>
  <c r="G137" i="1"/>
  <c r="F137" i="1"/>
  <c r="E137" i="1"/>
  <c r="C137" i="1"/>
  <c r="G136" i="1"/>
  <c r="F136" i="1"/>
  <c r="E136" i="1"/>
  <c r="C136" i="1"/>
  <c r="G135" i="1"/>
  <c r="F135" i="1"/>
  <c r="E135" i="1"/>
  <c r="G134" i="1"/>
  <c r="F134" i="1"/>
  <c r="E134" i="1"/>
  <c r="G133" i="1"/>
  <c r="F133" i="1"/>
  <c r="E133" i="1"/>
  <c r="G132" i="1"/>
  <c r="F132" i="1"/>
  <c r="E132" i="1"/>
  <c r="G131" i="1"/>
  <c r="F131" i="1"/>
  <c r="E131" i="1"/>
  <c r="C131" i="1"/>
  <c r="G130" i="1"/>
  <c r="F130" i="1"/>
  <c r="E130" i="1"/>
  <c r="G129" i="1"/>
  <c r="F129" i="1"/>
  <c r="E129" i="1"/>
  <c r="C129" i="1"/>
  <c r="G128" i="1"/>
  <c r="F128" i="1"/>
  <c r="E128" i="1"/>
  <c r="G127" i="1"/>
  <c r="F127" i="1"/>
  <c r="E127" i="1"/>
  <c r="C127" i="1"/>
  <c r="G126" i="1"/>
  <c r="F126" i="1"/>
  <c r="E126" i="1"/>
  <c r="G125" i="1"/>
  <c r="F125" i="1"/>
  <c r="E125" i="1"/>
  <c r="G124" i="1"/>
  <c r="F124" i="1"/>
  <c r="E124" i="1"/>
  <c r="G123" i="1"/>
  <c r="G165" i="1" s="1"/>
  <c r="F174" i="1" s="1"/>
  <c r="F123" i="1"/>
  <c r="E123" i="1"/>
  <c r="E116" i="1"/>
  <c r="F116" i="1" s="1"/>
  <c r="D116" i="1"/>
  <c r="E115" i="1"/>
  <c r="F115" i="1" s="1"/>
  <c r="D115" i="1"/>
  <c r="E114" i="1"/>
  <c r="F114" i="1" s="1"/>
  <c r="F112" i="1"/>
  <c r="E112" i="1"/>
  <c r="D112" i="1"/>
  <c r="E111" i="1"/>
  <c r="F111" i="1" s="1"/>
  <c r="D111" i="1"/>
  <c r="F110" i="1"/>
  <c r="E110" i="1"/>
  <c r="D110" i="1"/>
  <c r="E109" i="1"/>
  <c r="F109" i="1" s="1"/>
  <c r="F107" i="1"/>
  <c r="E107" i="1"/>
  <c r="D107" i="1"/>
  <c r="F106" i="1"/>
  <c r="E106" i="1"/>
  <c r="E104" i="1"/>
  <c r="F104" i="1" s="1"/>
  <c r="F117" i="1" s="1"/>
  <c r="D104" i="1"/>
  <c r="D99" i="1"/>
  <c r="F93" i="1"/>
  <c r="E93" i="1"/>
  <c r="F92" i="1"/>
  <c r="F94" i="1" s="1"/>
  <c r="F172" i="1" s="1"/>
  <c r="E92" i="1"/>
  <c r="G87" i="1"/>
  <c r="F87" i="1"/>
  <c r="H87" i="1" s="1"/>
  <c r="E87" i="1"/>
  <c r="D87" i="1"/>
  <c r="H86" i="1"/>
  <c r="G86" i="1"/>
  <c r="F86" i="1"/>
  <c r="E86" i="1"/>
  <c r="D86" i="1"/>
  <c r="G85" i="1"/>
  <c r="F85" i="1"/>
  <c r="H85" i="1" s="1"/>
  <c r="E85" i="1"/>
  <c r="D85" i="1"/>
  <c r="G84" i="1"/>
  <c r="F84" i="1"/>
  <c r="H84" i="1" s="1"/>
  <c r="E84" i="1"/>
  <c r="D84" i="1"/>
  <c r="G83" i="1"/>
  <c r="F83" i="1"/>
  <c r="E83" i="1"/>
  <c r="H83" i="1" s="1"/>
  <c r="D83" i="1"/>
  <c r="G82" i="1"/>
  <c r="F82" i="1"/>
  <c r="H82" i="1" s="1"/>
  <c r="E82" i="1"/>
  <c r="D82" i="1"/>
  <c r="F76" i="1"/>
  <c r="E76" i="1"/>
  <c r="D76" i="1"/>
  <c r="F75" i="1"/>
  <c r="F77" i="1" s="1"/>
  <c r="F170" i="1" s="1"/>
  <c r="E75" i="1"/>
  <c r="D75" i="1"/>
  <c r="E69" i="1"/>
  <c r="E68" i="1"/>
  <c r="E67" i="1"/>
  <c r="D67" i="1"/>
  <c r="E66" i="1"/>
  <c r="D66" i="1"/>
  <c r="E65" i="1"/>
  <c r="D65" i="1"/>
  <c r="E64" i="1"/>
  <c r="D64" i="1"/>
  <c r="E63" i="1"/>
  <c r="D63" i="1"/>
  <c r="E62" i="1"/>
  <c r="F55" i="1"/>
  <c r="C55" i="1"/>
  <c r="C54" i="1"/>
  <c r="F54" i="1" s="1"/>
  <c r="F53" i="1"/>
  <c r="D53" i="1"/>
  <c r="C53" i="1"/>
  <c r="F52" i="1"/>
  <c r="D52" i="1"/>
  <c r="F51" i="1"/>
  <c r="D51" i="1"/>
  <c r="C51" i="1"/>
  <c r="F50" i="1"/>
  <c r="D50" i="1"/>
  <c r="C50" i="1"/>
  <c r="F49" i="1"/>
  <c r="D49" i="1"/>
  <c r="F48" i="1"/>
  <c r="D48" i="1"/>
  <c r="C48" i="1"/>
  <c r="F47" i="1"/>
  <c r="D47" i="1"/>
  <c r="C47" i="1"/>
  <c r="F46" i="1"/>
  <c r="D46" i="1"/>
  <c r="C46" i="1"/>
  <c r="F45" i="1"/>
  <c r="D45" i="1"/>
  <c r="C45" i="1"/>
  <c r="F44" i="1"/>
  <c r="D44" i="1"/>
  <c r="C44" i="1"/>
  <c r="D43" i="1"/>
  <c r="C43" i="1"/>
  <c r="F43" i="1" s="1"/>
  <c r="D42" i="1"/>
  <c r="C42" i="1"/>
  <c r="F42" i="1" s="1"/>
  <c r="D41" i="1"/>
  <c r="C41" i="1"/>
  <c r="F41" i="1" s="1"/>
  <c r="D36" i="1"/>
  <c r="C36" i="1"/>
  <c r="E36" i="1" s="1"/>
  <c r="B36" i="1"/>
  <c r="E35" i="1"/>
  <c r="D35" i="1"/>
  <c r="C35" i="1"/>
  <c r="F35" i="1" s="1"/>
  <c r="B35" i="1"/>
  <c r="F34" i="1"/>
  <c r="D34" i="1"/>
  <c r="C34" i="1"/>
  <c r="E34" i="1" s="1"/>
  <c r="B34" i="1"/>
  <c r="F33" i="1"/>
  <c r="E33" i="1"/>
  <c r="D33" i="1"/>
  <c r="C33" i="1"/>
  <c r="B33" i="1"/>
  <c r="F32" i="1"/>
  <c r="E32" i="1"/>
  <c r="D32" i="1"/>
  <c r="C32" i="1"/>
  <c r="B32" i="1"/>
  <c r="D31" i="1"/>
  <c r="C31" i="1"/>
  <c r="F31" i="1" s="1"/>
  <c r="B31" i="1"/>
  <c r="D30" i="1"/>
  <c r="C30" i="1"/>
  <c r="E30" i="1" s="1"/>
  <c r="B30" i="1"/>
  <c r="E29" i="1"/>
  <c r="D29" i="1"/>
  <c r="C29" i="1"/>
  <c r="F29" i="1" s="1"/>
  <c r="B29" i="1"/>
  <c r="F28" i="1"/>
  <c r="D28" i="1"/>
  <c r="C28" i="1"/>
  <c r="E28" i="1" s="1"/>
  <c r="B28" i="1"/>
  <c r="F27" i="1"/>
  <c r="E27" i="1"/>
  <c r="D27" i="1"/>
  <c r="C27" i="1"/>
  <c r="B27" i="1"/>
  <c r="B19" i="1"/>
  <c r="B21" i="1" s="1"/>
  <c r="B22" i="1" s="1"/>
  <c r="B18" i="1"/>
  <c r="B17" i="1"/>
  <c r="F37" i="1" l="1"/>
  <c r="F57" i="1" s="1"/>
  <c r="H88" i="1"/>
  <c r="F171" i="1" s="1"/>
  <c r="F30" i="1"/>
  <c r="F36" i="1"/>
  <c r="E31" i="1"/>
  <c r="F168" i="1" l="1"/>
  <c r="F100" i="1"/>
  <c r="F119" i="1" s="1"/>
  <c r="F173" i="1" s="1"/>
  <c r="F58" i="1"/>
  <c r="F62" i="1" l="1"/>
  <c r="F67" i="1"/>
  <c r="F68" i="1"/>
  <c r="F63" i="1"/>
  <c r="F66" i="1"/>
  <c r="F69" i="1"/>
  <c r="F65" i="1"/>
  <c r="F64" i="1"/>
  <c r="F70" i="1" l="1"/>
  <c r="F169" i="1" l="1"/>
  <c r="F175" i="1"/>
  <c r="F71" i="1"/>
  <c r="F176" i="1" l="1"/>
  <c r="F178" i="1" s="1"/>
  <c r="F179" i="1" s="1"/>
</calcChain>
</file>

<file path=xl/sharedStrings.xml><?xml version="1.0" encoding="utf-8"?>
<sst xmlns="http://schemas.openxmlformats.org/spreadsheetml/2006/main" count="1417" uniqueCount="745">
  <si>
    <t>CPWD Plinth Area Rate Estimator — 2025</t>
  </si>
  <si>
    <t>A. PROJECT &amp; BUILDING BASICS</t>
  </si>
  <si>
    <t>Item</t>
  </si>
  <si>
    <t>Your input</t>
  </si>
  <si>
    <t>Unit</t>
  </si>
  <si>
    <t>Source condition / notes</t>
  </si>
  <si>
    <t>Building category</t>
  </si>
  <si>
    <t>Offices/Colleges</t>
  </si>
  <si>
    <t>Finest category available across sheets 01 &amp; 02. For Section-1 lookups this maps down to the 4-category split used in sheet "01 Building Cost" (that sheet does not split Hostels/Quarters further).</t>
  </si>
  <si>
    <t>Structure type</t>
  </si>
  <si>
    <t>RCC Framed</t>
  </si>
  <si>
    <t>Governs base rate (1.1/1.2) and stronger-foundation rate (1.3.5).</t>
  </si>
  <si>
    <t>Typical (normal) floor height selected</t>
  </si>
  <si>
    <t>metre</t>
  </si>
  <si>
    <t>Selects which base-rate row (3.60 m or 3.00 m) applies. Must equal 3.60 or 3.00 exactly, per source rate bands.</t>
  </si>
  <si>
    <t>Actual average floor height (typical floors)</t>
  </si>
  <si>
    <t>Used for item 1.3.2 (extra/deduct per 0.3 m vs the normal height selected above).</t>
  </si>
  <si>
    <t>Number of storeys (including ground floor)</t>
  </si>
  <si>
    <t>E.g. G+5 = 6. Base rate (1.1/1.2) covers upto six storeys; storeys beyond 6 attract item 1.3.1 extra (Section C below).</t>
  </si>
  <si>
    <t>Ground floor plinth area</t>
  </si>
  <si>
    <t>sqm</t>
  </si>
  <si>
    <t>Used wherever source says "ground floor area only": items 1.3.3, 1.3.4, 1.3.5, 1.3.6, 1.3.7, 1.3.8.</t>
  </si>
  <si>
    <t>Total plinth area, all floors</t>
  </si>
  <si>
    <t>Sum of plinth area of every floor. Used for the base building-cost rate and as the default "applicable area" for extras unless overridden below.</t>
  </si>
  <si>
    <t>Plot area</t>
  </si>
  <si>
    <t>Used by Section 7 (external CCTV surveillance, street lighting) and available for Section 6 detailed site-development inputs.</t>
  </si>
  <si>
    <t>B. SECTION 1 — BASE BUILDING-COST RATE (auto-derived, then looked up)</t>
  </si>
  <si>
    <t>Derived value</t>
  </si>
  <si>
    <t>How it is derived</t>
  </si>
  <si>
    <t>Category as used in sheet "01 Building Cost" (4-way split)</t>
  </si>
  <si>
    <t>Sheet 01 only distinguishes Offices/Colleges, Hospitals, Schools, Hostels/Quarters — the three finer categories above all fall under "Hostels/Quarters" there.</t>
  </si>
  <si>
    <t>Structure label as used in sheet "01 Building Cost"</t>
  </si>
  <si>
    <t>Floor-height condition text as used in sheet "01 Building Cost"</t>
  </si>
  <si>
    <t>Base rate (items 1.1 / 1.2) — matched from sheet 01</t>
  </si>
  <si>
    <t>₹/sqm</t>
  </si>
  <si>
    <t>Looked up from sheet "01 Building Cost" by exact match on structure type, floor height and building category. If the source has no rate for this exact combination, shows "N/A" instead of a wrong zero.</t>
  </si>
  <si>
    <t>Base building cost = base rate × total plinth area</t>
  </si>
  <si>
    <t>₹</t>
  </si>
  <si>
    <t>C. SECTION 1 — ITEM 1.3.1: EXTRA FOR ADDITIONAL STOREYS BEYOND SIX</t>
  </si>
  <si>
    <t>Per sheet 01 note: base rate covers upto 6 storeys. Storeys 7-12 attract +1x the item-1.3.1 rate on their combined plinth area, storeys 13-18 attract +2x, 19-24 attract +3x, and so on (rate increases by 1x per additional 6-storey band). Default area per band assumes uniform floor plates (Total plinth area ÷ storeys × storeys in that band) — override column F if your floors are not uniform.</t>
  </si>
  <si>
    <t>Band</t>
  </si>
  <si>
    <t>Storey range</t>
  </si>
  <si>
    <t>Storeys in this band</t>
  </si>
  <si>
    <t>Band rate ₹/sqm</t>
  </si>
  <si>
    <t>Area (sqm) — override if not uniform</t>
  </si>
  <si>
    <t>Cost (₹)</t>
  </si>
  <si>
    <t>Band 1</t>
  </si>
  <si>
    <t>Band 2</t>
  </si>
  <si>
    <t>Band 3</t>
  </si>
  <si>
    <t>Band 4</t>
  </si>
  <si>
    <t>Band 5</t>
  </si>
  <si>
    <t>Band 6</t>
  </si>
  <si>
    <t>Band 7</t>
  </si>
  <si>
    <t>Band 8</t>
  </si>
  <si>
    <t>Band 9</t>
  </si>
  <si>
    <t>Band 10</t>
  </si>
  <si>
    <t>Total — item 1.3.1 (storey-band extra)</t>
  </si>
  <si>
    <t>D. SECTION 1 — FOUNDATION / HEIGHT / BASEMENT / STILT / FIRE EXTRAS</t>
  </si>
  <si>
    <t>Item (source ref.)</t>
  </si>
  <si>
    <t>Input 1</t>
  </si>
  <si>
    <t>Input 2 (area, where needed)</t>
  </si>
  <si>
    <t>Source condition</t>
  </si>
  <si>
    <t>1.3.2 Extra/deduct — floor height ≠ normal height</t>
  </si>
  <si>
    <t>(uses actual vs normal height entered in Section A)</t>
  </si>
  <si>
    <t>1.3.3 Extra — higher plinth height (ground floor area only)</t>
  </si>
  <si>
    <t>actual plinth ht, m</t>
  </si>
  <si>
    <t>1.3.4 Extra — deeper foundation (ground floor area only)</t>
  </si>
  <si>
    <t>actual depth, m</t>
  </si>
  <si>
    <t>1.3.5 Stronger foundation for a future additional floor (ground floor area only)</t>
  </si>
  <si>
    <t>No</t>
  </si>
  <si>
    <t>rate depends on structure type</t>
  </si>
  <si>
    <t>1.3.6 RCC raft foundation (ground floor area only)</t>
  </si>
  <si>
    <t>1.3.7 Pile foundation upto 15 m depth (ground floor area only)</t>
  </si>
  <si>
    <t>1.3.8 Extra — pile foundation deeper than 15 m (only if 1.3.7 = Yes)</t>
  </si>
  <si>
    <t>actual pile depth, m</t>
  </si>
  <si>
    <t>1.3.9 Stronger structural members — heavy load 500-1000 kg/sqm</t>
  </si>
  <si>
    <t>area with heavy load (override)</t>
  </si>
  <si>
    <t>1.4.1 Basement floor (height upto 3.35 m, excl. raft base)</t>
  </si>
  <si>
    <t>basement floor area, sqm</t>
  </si>
  <si>
    <t>1.4.2 Extra/deduct — basement height ≠ normal 3.35 m (only if basement = Yes)</t>
  </si>
  <si>
    <t>actual basement height, m</t>
  </si>
  <si>
    <t>1.7 Pressurized mechanical ventilation in basement (only relevant if basement = Yes)</t>
  </si>
  <si>
    <t>area requiring ventilation (override)</t>
  </si>
  <si>
    <t>1.8.1 Stilt portion, upto floor height 3.60 m (stilt area only)</t>
  </si>
  <si>
    <t>stilt area, sqm</t>
  </si>
  <si>
    <t>1.8.2 Extra — stilt floor height above 3.60 m (only if stilt = Yes)</t>
  </si>
  <si>
    <t>actual stilt height, m</t>
  </si>
  <si>
    <t>1.5 Fire fighting system</t>
  </si>
  <si>
    <t>None</t>
  </si>
  <si>
    <t>Applies on total plinth area ("All applicable" per source).</t>
  </si>
  <si>
    <t>1.6 Fire alarm system</t>
  </si>
  <si>
    <t>SECTION 1 TOTAL — BUILDING COST</t>
  </si>
  <si>
    <t xml:space="preserve">  of which: Section-2 base (excludes items 1.3.4,1.3.5,1.3.6,1.3.7,1.3.8,1.3.9,1.5,1.6 — per sheet 02 basis note)</t>
  </si>
  <si>
    <t>E. SECTION 2 — SERVICES (% of Section-2 base above)</t>
  </si>
  <si>
    <t>Rate %</t>
  </si>
  <si>
    <t>2.1 Internal water supply &amp; sanitary installations</t>
  </si>
  <si>
    <t>% varies by building category (6-way split as in sheet 02).</t>
  </si>
  <si>
    <t>2.2.1 Electrical external service connections</t>
  </si>
  <si>
    <t>2.2.2 Civil external service connections</t>
  </si>
  <si>
    <t>2.2.3 Local body approvals (incl. tree cutting etc.)</t>
  </si>
  <si>
    <t>2.3 Internal electric installations</t>
  </si>
  <si>
    <t>2.4.1 Power wiring and plugs</t>
  </si>
  <si>
    <t>2.4.2 Lightning conductors</t>
  </si>
  <si>
    <t>Rate by building category; source has no rate for "Quarters" (shows N/A).</t>
  </si>
  <si>
    <t>2.4.3 Telephone conduits</t>
  </si>
  <si>
    <t>SECTION 2 TOTAL — SERVICES</t>
  </si>
  <si>
    <t>BUILDING COST (Section 1 + Section 2) — used by Section 3</t>
  </si>
  <si>
    <t>F. SECTION 3 — TPQA &amp; CONSULTANCY (% of Building Cost 1.0+2.0; Note 2: only if desired by client)</t>
  </si>
  <si>
    <t>Include?</t>
  </si>
  <si>
    <t>3.1 Third Party Quality Assurance (TPQA)</t>
  </si>
  <si>
    <t>3.2 Consultancy Services (Architectural/Structural/MEP), if outsourced</t>
  </si>
  <si>
    <t>SECTION 3 TOTAL — TPQA &amp; CONSULTANCY</t>
  </si>
  <si>
    <t>G. SECTION 4 — LIFTS (item 4.x)</t>
  </si>
  <si>
    <t>Pick a lift spec from sheet "04 Lifts" (type/capacity/speed/travel), state how many floors it actually serves (incl. ground). The spec's travel height (e.g. "G+4") sets the baseline number of floors already included in the price; floors served beyond that baseline are charged at the "extra per additional floor" rate — both pulled from sheet 04, never retyped.</t>
  </si>
  <si>
    <t>Lift spec (type/cap/speed/travel)</t>
  </si>
  <si>
    <t>Qty</t>
  </si>
  <si>
    <t>Floors actually served (incl. ground)</t>
  </si>
  <si>
    <t>Baseline floors (auto)</t>
  </si>
  <si>
    <t>Extra floors</t>
  </si>
  <si>
    <t>Unit price ₹</t>
  </si>
  <si>
    <t>Extra/floor ₹</t>
  </si>
  <si>
    <t>Line cost ₹</t>
  </si>
  <si>
    <t>SECTION 4 TOTAL — LIFTS</t>
  </si>
  <si>
    <t>H. SECTION 5 — RCC WATER TANK (item 5.x)</t>
  </si>
  <si>
    <t>Type / Include?</t>
  </si>
  <si>
    <t>Capacity (litres)</t>
  </si>
  <si>
    <t>Rate ₹/litre</t>
  </si>
  <si>
    <t>5.1-5.4 Overhead tank (OHT)</t>
  </si>
  <si>
    <t>5.5 Underground sump</t>
  </si>
  <si>
    <t>SECTION 5 TOTAL — WATER TANK</t>
  </si>
  <si>
    <t>I. SECTION 6 — DEVELOPMENT OF SITE (item 6.x)</t>
  </si>
  <si>
    <t>Per Note 4: use the Detailed method below when quantities for items 6.1-6.7 are measurable. If they cannot be computed, use the Flat-% fallback instead (a % of Section-1 Building Cost only — "building cost" is the term sheet 02 defines as Section 1.0; the combined "1.0+2.0" figure is always separately labelled in the source, so the plain term here means Section 1 alone).</t>
  </si>
  <si>
    <t>Site development costing method</t>
  </si>
  <si>
    <t>Flat % (site category)</t>
  </si>
  <si>
    <t>If Flat %: site category</t>
  </si>
  <si>
    <t>Compact</t>
  </si>
  <si>
    <t>Flat-% cost (Compact 4.5% / Semi-compact 6.0% / Large 7.5% of Section-1 total)</t>
  </si>
  <si>
    <t>If Detailed: enter measured quantities below (used only when method = "Detailed measurement")</t>
  </si>
  <si>
    <t>Quantity</t>
  </si>
  <si>
    <t>Rate</t>
  </si>
  <si>
    <t>6.1 Levelling</t>
  </si>
  <si>
    <t>6.2 Road / pavement / footpath — type</t>
  </si>
  <si>
    <t>Internal road WBM+bituminous</t>
  </si>
  <si>
    <t>(select type)</t>
  </si>
  <si>
    <t>6.2 Road / pavement / footpath — area</t>
  </si>
  <si>
    <t>6.3 External sewerage</t>
  </si>
  <si>
    <t>6.4 Water supply distribution — type</t>
  </si>
  <si>
    <t>Filtered - distribution upto 100mm</t>
  </si>
  <si>
    <t>6.4 Water supply distribution — length</t>
  </si>
  <si>
    <t>6.5 Storm water drains</t>
  </si>
  <si>
    <t>6.6 Rain water harvesting (excl. collection tank)</t>
  </si>
  <si>
    <t>6.7 Trenches for services</t>
  </si>
  <si>
    <t>6.8 Boundary wall — type</t>
  </si>
  <si>
    <t>Brickwork+RCC columns</t>
  </si>
  <si>
    <t>6.8 Boundary wall — length</t>
  </si>
  <si>
    <t>6.9.1 Horticulture (earth filling/grassing/planting)</t>
  </si>
  <si>
    <t>6.9.2 Vertical plantations (excl. framework)</t>
  </si>
  <si>
    <t>Detailed-method subtotal</t>
  </si>
  <si>
    <t>SECTION 6 TOTAL — DEVELOPMENT OF SITE</t>
  </si>
  <si>
    <t>Excluded per Note 5a/5b: tube wells/pumps/open wells/treatment plant/source-side works; sewage pumps/STP/septic tanks/outfall sewer beyond plot. Add via Section 7 (7.20 STP/ETP) or a separate estimate if needed.</t>
  </si>
  <si>
    <t>J. SECTION 7 — SPECIALIZED E&amp;M (items 7.1-7.28; provide per Note 6, only if required)</t>
  </si>
  <si>
    <t>Qty / Area input</t>
  </si>
  <si>
    <t>7.1.1 33 kV receiving substation + HT cabling</t>
  </si>
  <si>
    <t>kVA</t>
  </si>
  <si>
    <t>7.2.1 33kV/0.433kV substation equipment</t>
  </si>
  <si>
    <t>7.2.2 11kV/0.433kV substation equipment</t>
  </si>
  <si>
    <t>7.3.1 Silent DG set + AMF panel etc.</t>
  </si>
  <si>
    <t>7.3.2 Extra — synchronizing panel (same kVA as 7.3.1)</t>
  </si>
  <si>
    <t>7.4.1 Online UPS, 30 min backup</t>
  </si>
  <si>
    <t>7.4.2 Extra — additional 30-min backup blocks (count; on 7.4.1 kVA)</t>
  </si>
  <si>
    <t>blocks</t>
  </si>
  <si>
    <t>7.5.1 Energy-efficient central AC plant</t>
  </si>
  <si>
    <t>TR</t>
  </si>
  <si>
    <t>7.5.2 Extra — standby chilling units, high side (same TR as 7.5.1)</t>
  </si>
  <si>
    <t>7.6.1 VRV/VRF system, complete</t>
  </si>
  <si>
    <t>HP</t>
  </si>
  <si>
    <t>7.7.1 Precision air conditioning system</t>
  </si>
  <si>
    <t>7.8.1 Grid-interactive rooftop solar PV</t>
  </si>
  <si>
    <t>kWp</t>
  </si>
  <si>
    <t>7.9.1 Solar water heating system (excl. piping)</t>
  </si>
  <si>
    <t>litre</t>
  </si>
  <si>
    <t>7.10.1 CCTV indoors (on total plinth area)</t>
  </si>
  <si>
    <t>7.10.2 External surveillance (on plot area minus ground-floor plinth)</t>
  </si>
  <si>
    <t>7.11.1 Access control (on plinth area of high-security zone only)</t>
  </si>
  <si>
    <t>7.12.1 IBMS, upto 10,000 sqm (on total plinth area)</t>
  </si>
  <si>
    <t>7.12.2 IBMS extra for built-up area above 10,000 sqm (auto: only applies if total plinth area &gt; 10,000)</t>
  </si>
  <si>
    <t>7.13.1 Hydropneumatic water supply system</t>
  </si>
  <si>
    <t>LPM</t>
  </si>
  <si>
    <t>7.14.1 Lighting automation (area to be specified by client)</t>
  </si>
  <si>
    <t>Net habitable plinth area (excl. service/common areas) — shared input for 7.15/7.16/7.17/7.18</t>
  </si>
  <si>
    <t>7.15.2 Basic home security — Intercom system</t>
  </si>
  <si>
    <t>7.16.3 Basic home security — CCTV system</t>
  </si>
  <si>
    <t>7.17.1 LAN system</t>
  </si>
  <si>
    <t>7.18.1 IP-based EPABX system</t>
  </si>
  <si>
    <t>7.19 Conference hall AV/conference system (carpet area of hall only)</t>
  </si>
  <si>
    <t>7.19.1 LED street/compound/mast/pathway lighting, whole campus (on total plot area)</t>
  </si>
  <si>
    <t>Source: applicable for plots &gt; 1 acre (4,046.86 sqm - standard unit conversion); for smaller plots, actual requirement should be worked out separately.</t>
  </si>
  <si>
    <t>7.20 STP/ETP plant capacity (tiered rate: 0-50 / 50-100 / above 100 KLD)</t>
  </si>
  <si>
    <t>KLD</t>
  </si>
  <si>
    <t xml:space="preserve">  7.20.1 first 50 KLD</t>
  </si>
  <si>
    <t xml:space="preserve">  7.20.2 next 50-100 KLD</t>
  </si>
  <si>
    <t xml:space="preserve">  7.20.3 above 100 KLD</t>
  </si>
  <si>
    <t>7.21.1 ANPR system</t>
  </si>
  <si>
    <t>set</t>
  </si>
  <si>
    <t>7.22.1 Small baggage scanner</t>
  </si>
  <si>
    <t>unit</t>
  </si>
  <si>
    <t>7.22.2 Big baggage scanner</t>
  </si>
  <si>
    <t>7.23.1 Door frame metal detector (20-zone+)</t>
  </si>
  <si>
    <t>7.24.2 Modular OT — stainless steel (basis 50 sqm/OT)</t>
  </si>
  <si>
    <t>OT</t>
  </si>
  <si>
    <t>7.24.3 Modular OT — SMS technology (basis 50 sqm/OT)</t>
  </si>
  <si>
    <t>7.25.1 Electromechanical boom barrier, upto 6 m</t>
  </si>
  <si>
    <t>each</t>
  </si>
  <si>
    <t>7.26.1 Sensor-based car parking system (min. 250 cars basis)</t>
  </si>
  <si>
    <t>car</t>
  </si>
  <si>
    <t>7.27.1 Illuminated signages (on total plinth area)</t>
  </si>
  <si>
    <t>7.28 Motorized steel gates, upto 6 m width</t>
  </si>
  <si>
    <t>gate</t>
  </si>
  <si>
    <t>SECTION 7 TOTAL — SPECIALIZED E&amp;M</t>
  </si>
  <si>
    <t>K. GRAND TOTAL</t>
  </si>
  <si>
    <t>Section 1 — Building Cost</t>
  </si>
  <si>
    <t>Section 2 — Services</t>
  </si>
  <si>
    <t>Section 3 — TPQA &amp; Consultancy</t>
  </si>
  <si>
    <t>Section 4 — Lifts</t>
  </si>
  <si>
    <t>Section 5 — Water Tank</t>
  </si>
  <si>
    <t>Section 6 — Development of Site</t>
  </si>
  <si>
    <t>Section 7 — Specialized E&amp;M</t>
  </si>
  <si>
    <t>Subtotal (Sections 1-7)</t>
  </si>
  <si>
    <t>Additional local Cess/Levy, if any (per Note 1 — rates above already include CP&amp;OH, GST and Labour Welfare Cess; any OTHER cess/levy imposed by local Government is not in the source rates and must be entered here)</t>
  </si>
  <si>
    <t>% of subtotal</t>
  </si>
  <si>
    <t>GRAND TOTAL — ESTIMATED PROJECT COST (₹)</t>
  </si>
  <si>
    <t xml:space="preserve">  = same amount in ₹ crore</t>
  </si>
  <si>
    <t>This estimate excludes: land cost; furniture/loose furnishings unless specified above; works listed as excluded in Notes 5a/5b; anything under Section 7 not ticked "Yes"; and General facade lighting (Note, sheet 07) which the source says must be assessed case-by-case.</t>
  </si>
  <si>
    <t>01 — Building Cost</t>
  </si>
  <si>
    <t>Source section 1.0; specifications as per Annexure-I.</t>
  </si>
  <si>
    <t>Item No.</t>
  </si>
  <si>
    <t>Category</t>
  </si>
  <si>
    <t>Description / condition</t>
  </si>
  <si>
    <t>Building type / applicability</t>
  </si>
  <si>
    <t>Rate unit</t>
  </si>
  <si>
    <t>1.1.1</t>
  </si>
  <si>
    <t>RCC FRAMED STRUCTURE (Upto six storeys)</t>
  </si>
  <si>
    <t>Floor height 3.60 metre</t>
  </si>
  <si>
    <t>Hospitals</t>
  </si>
  <si>
    <t>Schools</t>
  </si>
  <si>
    <t>Hostels/Quarters</t>
  </si>
  <si>
    <t>1.1.2</t>
  </si>
  <si>
    <t>Floor height 3.00 metre</t>
  </si>
  <si>
    <t>1.2.1</t>
  </si>
  <si>
    <t>COMPOSITE (PARTIALLY LOAD BEARING AND PARTIALLY RCC FRAMED) STRUCTURE (Upto six storeys)</t>
  </si>
  <si>
    <t>1.2.2</t>
  </si>
  <si>
    <t>1.3.1</t>
  </si>
  <si>
    <t>EXTRA FOR</t>
  </si>
  <si>
    <t>Set of six additional storey (7th to 12th storey)</t>
  </si>
  <si>
    <t>All applicable</t>
  </si>
  <si>
    <t>1.3.2</t>
  </si>
  <si>
    <t>Every 0.3 metre or part thereof, additional / less height of floor above normal floor height of 3.60 metre / 3.00 metre</t>
  </si>
  <si>
    <t>Applicable area</t>
  </si>
  <si>
    <t>1.3.3</t>
  </si>
  <si>
    <t>Every 0.3 metre or part thereof, higher plinth height over normal plinth height of 0.60 metre (ground floor area only)</t>
  </si>
  <si>
    <t>1.3.4</t>
  </si>
  <si>
    <t>Every 0.30 metre or part thereof, deeper foundations over normal depth of 1.20 metre (ground floor area only)</t>
  </si>
  <si>
    <t>1.3.5</t>
  </si>
  <si>
    <t>Making stronger foundations to take load of one additional floor at a later date (ground floor area only)</t>
  </si>
  <si>
    <t>RCC framed structures</t>
  </si>
  <si>
    <t>Composite structure</t>
  </si>
  <si>
    <t>1.3.6</t>
  </si>
  <si>
    <t>RCC raft foundation</t>
  </si>
  <si>
    <t>Ground floor area only</t>
  </si>
  <si>
    <t>1.3.7</t>
  </si>
  <si>
    <t>Pile foundation upto a depth of 15 metre</t>
  </si>
  <si>
    <t>1.3.8</t>
  </si>
  <si>
    <t>Every 1.0 m deeper pile foundation over normal depth of 15 metre</t>
  </si>
  <si>
    <t>1.3.9</t>
  </si>
  <si>
    <t>Stronger structural members to take heavy load above 500 kg per sqm upto 1000 kg per sqm</t>
  </si>
  <si>
    <t>1.4.1</t>
  </si>
  <si>
    <t>BASEMENT FLOOR</t>
  </si>
  <si>
    <t>Floor height upto 3.35 metre including water proofing (excluding raft base)</t>
  </si>
  <si>
    <t>1.4.2</t>
  </si>
  <si>
    <t>Add or deduct for every 0.30 metre, or part thereof, height against normal height of 3.35 metre</t>
  </si>
  <si>
    <t>1.5.1</t>
  </si>
  <si>
    <t>FIRE FIGHTING</t>
  </si>
  <si>
    <t>Downcomer System</t>
  </si>
  <si>
    <t>1.5.2</t>
  </si>
  <si>
    <t>With wet riser system</t>
  </si>
  <si>
    <t>1.5.3</t>
  </si>
  <si>
    <t>With wet riser and sprinkler system</t>
  </si>
  <si>
    <t>1.6.1</t>
  </si>
  <si>
    <t>FIRE ALARM SYSTEM</t>
  </si>
  <si>
    <t>Manual fire alarm system</t>
  </si>
  <si>
    <t>1.6.2</t>
  </si>
  <si>
    <t>Automatic fire alarm system</t>
  </si>
  <si>
    <t>1.7</t>
  </si>
  <si>
    <t>Pressurized mechanical ventilation system in the basements</t>
  </si>
  <si>
    <t>With supply duct of exhaust blowers; on areas where mechanical ventilation is required</t>
  </si>
  <si>
    <t>1.8.1</t>
  </si>
  <si>
    <t>STILT PORTION</t>
  </si>
  <si>
    <t>Stilt portion of multi-storey buildings upto floor height of 3.60 metre (on stilt area only)</t>
  </si>
  <si>
    <t>1.8.2</t>
  </si>
  <si>
    <t>Every 0.30 metre additional height above 3.60 metre</t>
  </si>
  <si>
    <t>Applicable stilt area</t>
  </si>
  <si>
    <t>Note:</t>
  </si>
  <si>
    <t>1.3.1 Extra for additional storeys</t>
  </si>
  <si>
    <t>An additional rate of ₹123/sqm shall apply to each set of six additional storeys, as follows:</t>
  </si>
  <si>
    <t>7th to 12th storey: ₹123/sqm</t>
  </si>
  <si>
    <t>13th to 18th storey: ₹246/sqm</t>
  </si>
  <si>
    <t>19th to 24th storey: ₹369/sqm</t>
  </si>
  <si>
    <t>25th to 30th storey: ₹492/sqm</t>
  </si>
  <si>
    <t>And so on, with the rate increasing by ₹123/sqm for each successive set of six storeys.</t>
  </si>
  <si>
    <t>The applicable plinth area shall be the total plinth area of all storeys within the respective set of six storeys.</t>
  </si>
  <si>
    <t>If the final set contains fewer than six storeys, the same procedure shall apply.</t>
  </si>
  <si>
    <t>Example: For a 15-storey building:</t>
  </si>
  <si>
    <t>1. 7th–12th storeys: ₹123/sqm on the combined plinth area of the 7th to 12th storeys.</t>
  </si>
  <si>
    <t>2. 13th–15th storeys: ₹246/sqm on the combined plinth area of the 13th to 15th storeys.</t>
  </si>
  <si>
    <t>02 — Services</t>
  </si>
  <si>
    <t>Percentage rates; the source states the percentage is based on building cost as per 1.0, excluding specified subheads.</t>
  </si>
  <si>
    <t>Description</t>
  </si>
  <si>
    <t>Building type / condition</t>
  </si>
  <si>
    <t>Rate basis</t>
  </si>
  <si>
    <t>Rate (%)</t>
  </si>
  <si>
    <t>2.1</t>
  </si>
  <si>
    <t>Internal water supply &amp; sanitary installations</t>
  </si>
  <si>
    <t>% of building cost</t>
  </si>
  <si>
    <t>Hostels — with attached toilets</t>
  </si>
  <si>
    <t>Hostels — with common toilets</t>
  </si>
  <si>
    <t>Quarters</t>
  </si>
  <si>
    <t>2.2.1</t>
  </si>
  <si>
    <t>Electrical external service connections</t>
  </si>
  <si>
    <t>All building categories</t>
  </si>
  <si>
    <t>2.2.2</t>
  </si>
  <si>
    <t>Civil external service connections</t>
  </si>
  <si>
    <t>2.2.3</t>
  </si>
  <si>
    <t>Local body approvals including tree cutting etc.</t>
  </si>
  <si>
    <t>2.3</t>
  </si>
  <si>
    <t>Internal electric installations</t>
  </si>
  <si>
    <t>2.4.1</t>
  </si>
  <si>
    <t>Power wiring and plugs</t>
  </si>
  <si>
    <t>2.4.2</t>
  </si>
  <si>
    <t>Lightning conductors</t>
  </si>
  <si>
    <t>Hostels</t>
  </si>
  <si>
    <t>2.4.3</t>
  </si>
  <si>
    <t>Telephone conduits</t>
  </si>
  <si>
    <t>Source basis note</t>
  </si>
  <si>
    <t>For section 2.0, the source states that percentages refer to the percentage of building cost as per 1.0 above, excluding subheads 1.3.4, 1.3.5, 1.3.6, 1.3.7, 1.3.8, 1.3.9, 1.5 and 1.6.</t>
  </si>
  <si>
    <t>03 — TPQA &amp; Consultancy Services</t>
  </si>
  <si>
    <t>Percentages refer to building cost (sum of section 1.0 and section 2.0).</t>
  </si>
  <si>
    <t>Applicability</t>
  </si>
  <si>
    <t>3.1</t>
  </si>
  <si>
    <t>Third Party Quality Assurance</t>
  </si>
  <si>
    <t>% of building cost (1.0 + 2.0)</t>
  </si>
  <si>
    <t>3.2</t>
  </si>
  <si>
    <t>Consultancy Services for Architectural, Structural and MEP Services, if outsourced</t>
  </si>
  <si>
    <t>04 — Lifts</t>
  </si>
  <si>
    <t>Power-operated centre-opening doors and AC variable voltage &amp; variable frequency controls.</t>
  </si>
  <si>
    <t>Lift type</t>
  </si>
  <si>
    <t>Capacity / persons</t>
  </si>
  <si>
    <t>Speed (m/sec)</t>
  </si>
  <si>
    <t>Travel height</t>
  </si>
  <si>
    <t>Price (₹ lakh)</t>
  </si>
  <si>
    <t>Extra per additional floor (₹)</t>
  </si>
  <si>
    <t>Baseline floors incl. ground (derived)</t>
  </si>
  <si>
    <t>Spec label (for dropdown)</t>
  </si>
  <si>
    <t>4.1.1</t>
  </si>
  <si>
    <t>Passenger</t>
  </si>
  <si>
    <t>8</t>
  </si>
  <si>
    <t>1.0</t>
  </si>
  <si>
    <t>G+4</t>
  </si>
  <si>
    <t>4.1.2</t>
  </si>
  <si>
    <t>1.5</t>
  </si>
  <si>
    <t>G+5</t>
  </si>
  <si>
    <t>4.1.3</t>
  </si>
  <si>
    <t>13</t>
  </si>
  <si>
    <t>4.1.4</t>
  </si>
  <si>
    <t>4.1.5</t>
  </si>
  <si>
    <t>16</t>
  </si>
  <si>
    <t>4.1.6</t>
  </si>
  <si>
    <t>4.1.7</t>
  </si>
  <si>
    <t>2.5</t>
  </si>
  <si>
    <t>G+12</t>
  </si>
  <si>
    <t>4.2.1</t>
  </si>
  <si>
    <t>Bed</t>
  </si>
  <si>
    <t>20</t>
  </si>
  <si>
    <t>0.75</t>
  </si>
  <si>
    <t>4.2.2</t>
  </si>
  <si>
    <t>4.2.3</t>
  </si>
  <si>
    <t>4.3.1</t>
  </si>
  <si>
    <t>Goods (2 speed)</t>
  </si>
  <si>
    <t>1 Ton</t>
  </si>
  <si>
    <t>0.5</t>
  </si>
  <si>
    <t>4.3.2</t>
  </si>
  <si>
    <t>2 Ton</t>
  </si>
  <si>
    <t>4.3.3</t>
  </si>
  <si>
    <t>3 Ton</t>
  </si>
  <si>
    <t>0.25</t>
  </si>
  <si>
    <t>05 — RCC Water Tank</t>
  </si>
  <si>
    <t>Rates as stated in ₹ per litre.</t>
  </si>
  <si>
    <t>5.1</t>
  </si>
  <si>
    <t>Overhead tank without independent staging</t>
  </si>
  <si>
    <t>₹/litre</t>
  </si>
  <si>
    <t>5.2</t>
  </si>
  <si>
    <t>Overhead tank with staging height upto 20 metre</t>
  </si>
  <si>
    <t>5.3</t>
  </si>
  <si>
    <t>Overhead tank with staging height above 20 metre upto 30 metre</t>
  </si>
  <si>
    <t>5.4</t>
  </si>
  <si>
    <t>Overhead tank with staging height above 30 metre upto 40 metre</t>
  </si>
  <si>
    <t>5.5</t>
  </si>
  <si>
    <t>Underground sump</t>
  </si>
  <si>
    <t>06 — Development of Site</t>
  </si>
  <si>
    <t>Rates are presented using the source units and descriptions.</t>
  </si>
  <si>
    <t>6.1</t>
  </si>
  <si>
    <t>Levelling</t>
  </si>
  <si>
    <t>6.2.1</t>
  </si>
  <si>
    <t>Internal road with WBM and bituminous top</t>
  </si>
  <si>
    <t>6.2.2</t>
  </si>
  <si>
    <t>Internal road with WMM and bituminous top</t>
  </si>
  <si>
    <t>6.2.3</t>
  </si>
  <si>
    <t>Cement concrete pavement with vacuum dewatered concrete</t>
  </si>
  <si>
    <t>6.2.4</t>
  </si>
  <si>
    <t>Footpath with PCC base, 60 mm thick paver blocks and kerb stone edging</t>
  </si>
  <si>
    <t>6.3</t>
  </si>
  <si>
    <t>External sewerage</t>
  </si>
  <si>
    <t>₹/metre</t>
  </si>
  <si>
    <t>6.4.1</t>
  </si>
  <si>
    <t>Filtered water supply — Distribution lines upto 100 mm dia</t>
  </si>
  <si>
    <t>6.4.2</t>
  </si>
  <si>
    <t>Filtered water supply — Peripheral grid 150 mm to 300 mm dia pipes</t>
  </si>
  <si>
    <t>6.4.3</t>
  </si>
  <si>
    <t>Unfiltered water supply distribution lines</t>
  </si>
  <si>
    <t>6.5</t>
  </si>
  <si>
    <t>Storm water drains</t>
  </si>
  <si>
    <t>6.6</t>
  </si>
  <si>
    <t>Rain water harvesting (RWH) — excluding collection tank</t>
  </si>
  <si>
    <t>6.7</t>
  </si>
  <si>
    <t>Trenches for services</t>
  </si>
  <si>
    <t>6.8.1</t>
  </si>
  <si>
    <t>Boundary wall with brickwork structure, RCC columns 300×300 mm @ 3.00 m c/c, RCC plinth beam 300×300 mm, coping; 1500 mm wall + 600 mm MS grill; 2100 mm steel gates at every 100 m</t>
  </si>
  <si>
    <t>6.8.2</t>
  </si>
  <si>
    <t>Boundary wall with precast RCC M40 shaped 250×230 mm posts and 70 mm thick RCC wall panel inserts; same overall boundary-wall description</t>
  </si>
  <si>
    <t>6.9.1</t>
  </si>
  <si>
    <t>Horticulture operations including 300 mm earth filling, grassing, tree plantations/shrubs and potted plants etc.</t>
  </si>
  <si>
    <t>6.9.2</t>
  </si>
  <si>
    <t>Vertical plantations — excluding frame work; rate applicable on vertical gardening area</t>
  </si>
  <si>
    <t>07 — Specialized E&amp;M Works</t>
  </si>
  <si>
    <t>Items 7.1 to 7.28 from the source PDF; descriptions retained and organized into a single rate table.</t>
  </si>
  <si>
    <t>Description / applicability</t>
  </si>
  <si>
    <t>7.1.1</t>
  </si>
  <si>
    <t>33 kV receiving substation and 33 kV/11 kV HT cabling — complete specified system</t>
  </si>
  <si>
    <t>₹/kVA</t>
  </si>
  <si>
    <t>7.2.1</t>
  </si>
  <si>
    <t>33 KV/0.433 KV substation equipment — complete specified system</t>
  </si>
  <si>
    <t>7.2.2</t>
  </si>
  <si>
    <t>11 KV/0.433 KV substation equipment — complete specified system</t>
  </si>
  <si>
    <t>7.3.1</t>
  </si>
  <si>
    <t>Silent type DG sets, AMF panel, bus ducting/cables, synchronizing panel where required, enclosure works, earthing, fuel/exhaust systems and connected civil works</t>
  </si>
  <si>
    <t>7.3.2</t>
  </si>
  <si>
    <t>Extra for synchronizing panels wherever required</t>
  </si>
  <si>
    <t>7.4.1</t>
  </si>
  <si>
    <t>Online 3 phase UPS system with 30 minutes backup including batteries, cables, racks etc.</t>
  </si>
  <si>
    <t>7.4.2</t>
  </si>
  <si>
    <t>Add for every additional 30 minutes backup</t>
  </si>
  <si>
    <t>7.5.1</t>
  </si>
  <si>
    <t>Energy efficient central AC plant including low side works</t>
  </si>
  <si>
    <t>₹/TR</t>
  </si>
  <si>
    <t>7.5.2</t>
  </si>
  <si>
    <t>Extra for stand-by chilling units high side</t>
  </si>
  <si>
    <t>7.6.1</t>
  </si>
  <si>
    <t>VRV/VRF system including indoor/outdoor units, piping, electrical power distribution/wiring, electrical panel, treated fresh air system etc.</t>
  </si>
  <si>
    <t>₹/HP</t>
  </si>
  <si>
    <t>7.7.1</t>
  </si>
  <si>
    <t>Precision air conditioning system including piping, electrical cabling, controller etc.</t>
  </si>
  <si>
    <t>7.8.1</t>
  </si>
  <si>
    <t>Grid interactive roof top solar photovoltaic power generation system including space frame</t>
  </si>
  <si>
    <t>₹/kWp</t>
  </si>
  <si>
    <t>7.9.1</t>
  </si>
  <si>
    <t>Solar water heating system with heat exchanger, electrical heater backup, make-up water tank; without piping</t>
  </si>
  <si>
    <t>₹/100 litre</t>
  </si>
  <si>
    <t>7.10.1</t>
  </si>
  <si>
    <t>IP-based CCTV for building security, indoors only; rate applicable on total plinth area</t>
  </si>
  <si>
    <t>7.10.2</t>
  </si>
  <si>
    <t>External surveillance; rate applicable on total plot area minus plinth area at ground floor</t>
  </si>
  <si>
    <t>7.11.1</t>
  </si>
  <si>
    <t>Access control system; rate applicable only on plinth area of high-security area</t>
  </si>
  <si>
    <t>7.12.1</t>
  </si>
  <si>
    <t>IBMS up to 10,000 sqm; rate applicable on total plinth area</t>
  </si>
  <si>
    <t>7.12.2</t>
  </si>
  <si>
    <t>IBMS extra for built-up area above 10,000 sqm; rate applicable on total plinth area</t>
  </si>
  <si>
    <t>7.13.1</t>
  </si>
  <si>
    <t>Hydropneumatic water supply system including pumps, pneumatic tank, controls, VFD, pipes, valves, cabling and switchgear</t>
  </si>
  <si>
    <t>₹/LPM</t>
  </si>
  <si>
    <t>7.14.1</t>
  </si>
  <si>
    <t>Lighting automation including occupancy sensors; rate applicable on area to be specified by client</t>
  </si>
  <si>
    <t>7.15.2</t>
  </si>
  <si>
    <t>Basic home security — Intercom system; rate applicable on plinth area excluding service/common areas</t>
  </si>
  <si>
    <t>7.16.3</t>
  </si>
  <si>
    <t>Basic home security — CCTV system; rate applicable on plinth area excluding service/common areas</t>
  </si>
  <si>
    <t>7.17.1</t>
  </si>
  <si>
    <t>LAN system including switches, Wi-Fi, controller, racks, CAT 6A, patch panels, OFC etc.; rate applicable on plinth area excluding service/common areas</t>
  </si>
  <si>
    <t>7.18.1</t>
  </si>
  <si>
    <t>IP-based EPABX system including switches, server/cloud UC solution, IP/SIP phones, racks, CAT 6A, patch panels, OFC etc.; rate applicable on plinth area excluding service/common areas</t>
  </si>
  <si>
    <t>7.19</t>
  </si>
  <si>
    <t>Conference hall audio visual/conference system; rate applicable on carpet area of hall only</t>
  </si>
  <si>
    <t>7.19.1</t>
  </si>
  <si>
    <t>LED street/compound/high mast/pathway/landscape lighting for entire campus; rate applicable on total plot area</t>
  </si>
  <si>
    <t>7.20.1</t>
  </si>
  <si>
    <t>STP/ETP plant, plant size upto 50 KLD</t>
  </si>
  <si>
    <t>₹/KLD</t>
  </si>
  <si>
    <t>7.20.2</t>
  </si>
  <si>
    <t>Add extra for every KLD for plant size above 50 KLD and upto 100 KLD</t>
  </si>
  <si>
    <t>7.20.3</t>
  </si>
  <si>
    <t>Add extra for every KLD for plant size above 100 KLD</t>
  </si>
  <si>
    <t>7.21.1</t>
  </si>
  <si>
    <t>Driver face and automatic number plate recording/recognition system including high-resolution camera and software</t>
  </si>
  <si>
    <t>₹/set</t>
  </si>
  <si>
    <t>7.22.1</t>
  </si>
  <si>
    <t>Small baggage scanner — specified multi-energy X-ray system</t>
  </si>
  <si>
    <t>₹/unit</t>
  </si>
  <si>
    <t>7.22.2</t>
  </si>
  <si>
    <t>Big baggage scanner — specified multi-energy X-ray system</t>
  </si>
  <si>
    <t>7.23.1</t>
  </si>
  <si>
    <t>20-zone or above door frame metal detector, nominal 760×2050×700 mm, with software</t>
  </si>
  <si>
    <t>7.24.2</t>
  </si>
  <si>
    <t>Modular Operation Theater (MOT) with stainless steel technology; OT size basis 50 sqm</t>
  </si>
  <si>
    <t>₹/OT</t>
  </si>
  <si>
    <t>7.24.3</t>
  </si>
  <si>
    <t>Modular Operation Theater (MOT) with SMS technology; OT size basis 50 sqm</t>
  </si>
  <si>
    <t>7.25.1</t>
  </si>
  <si>
    <t>Electromechanical boom barrier with all accessories upto 6 metre length</t>
  </si>
  <si>
    <t>₹/each</t>
  </si>
  <si>
    <t>7.26.1</t>
  </si>
  <si>
    <t>Sensor-based car parking system with controller, display etc.; cost based on minimum car capacity of 250</t>
  </si>
  <si>
    <t>₹/car</t>
  </si>
  <si>
    <t>7.27.1</t>
  </si>
  <si>
    <t>Illuminated signages; rate applicable on total plinth area</t>
  </si>
  <si>
    <t>7.28</t>
  </si>
  <si>
    <t>Motorized steel gates upto 6.00 metre width</t>
  </si>
  <si>
    <t>₹/gate</t>
  </si>
  <si>
    <t>Source notes embedded in the PDF</t>
  </si>
  <si>
    <t>7.2: For kVA estimation, the source refers to the CPWD Guidelines for Substation &amp; Power Distribution Systems of Buildings-2019, paras 4.4, 13 and other relevant paras.</t>
  </si>
  <si>
    <t>7.10: CCTV indoor rate includes peripheral IP-based PTZ camera, indoor cameras at reception/corridors/lift lobby etc., wiring to CCTV room and monitoring unit(s); excludes inside office/lab rooms and special video walls.</t>
  </si>
  <si>
    <t>7.17/7.18: Source notes that common switches, OFC and CAT 6A infrastructure may be economical for both voice and networking.</t>
  </si>
  <si>
    <t>7.19 street lighting: Source says applicable for plot sizes more than 1 acre; for smaller plots actual requirements may be worked out.</t>
  </si>
  <si>
    <t>General façade lighting, if required, is to be assessed case by case.</t>
  </si>
  <si>
    <t>08 — Source Notes</t>
  </si>
  <si>
    <t>Notes reproduced/organized from the CPWD PDF; no external corrections substituted.</t>
  </si>
  <si>
    <t>Note</t>
  </si>
  <si>
    <t>Source note</t>
  </si>
  <si>
    <t>1</t>
  </si>
  <si>
    <t>Rates are inclusive of CP &amp; OH, GST and Labour Welfare Cess; any other Cess/Levy imposed by local Government shall be added separately.</t>
  </si>
  <si>
    <t>2</t>
  </si>
  <si>
    <t>Third Party Quality Assurance (Item 3.1) and Consultancy Services for designing and planning of the project (Item 3.2) shall only be considered if desired by the clients.</t>
  </si>
  <si>
    <t>3</t>
  </si>
  <si>
    <t>Accessibility features for barrier-free built environment: for new construction, cost is deemed included in the rate for non-residential buildings; for existing construction, estimate may be prepared as per prevalent Delhi Schedule of Rates.</t>
  </si>
  <si>
    <t>4.1</t>
  </si>
  <si>
    <t>If development component area/length under items 6.1 to 6.7 cannot be computed: Compact site — 4.5% of building cost. Description: single huge-area building with few ancillary buildings or few high-rise blocks (higher than 12 storeys) in close cluster.</t>
  </si>
  <si>
    <t>4.2</t>
  </si>
  <si>
    <t>Semi compact/semi scattered site — 6.0% of building cost. Description: few midrise blocks (6 to 12 storeys) in a gated compound.</t>
  </si>
  <si>
    <t>4.3</t>
  </si>
  <si>
    <t>Large site — 7.5% of building cost. Description: various scattered low-rise buildings (upto 4 storeys), with exception of a block or two upto 6 storeys.</t>
  </si>
  <si>
    <t>5a</t>
  </si>
  <si>
    <t>Development works not included: tube wells, pumps, open wells, treatment plant, extension of lines from source of local bodies, head works at water source etc.</t>
  </si>
  <si>
    <t>5b</t>
  </si>
  <si>
    <t>Development works not included: sewage pumps, sewage treatment plants, septic tanks, extension of outfall sewer upto point of disposal etc.</t>
  </si>
  <si>
    <t>6</t>
  </si>
  <si>
    <t>Provision for Specialized E&amp;M services, if required, may be made as per section 7.0.</t>
  </si>
  <si>
    <t>7</t>
  </si>
  <si>
    <t>Concealed wiring shall be used in all electrical works.</t>
  </si>
  <si>
    <t>8a</t>
  </si>
  <si>
    <t>Green measure included in civil/electrical rates: over-deck insulation and high SRI reflective paint on thereof.</t>
  </si>
  <si>
    <t>8b</t>
  </si>
  <si>
    <t>Green measure included: masonry work in superstructure with AAC blocks/fly ash bricks.</t>
  </si>
  <si>
    <t>8c</t>
  </si>
  <si>
    <t>Green measure included: windows with reflective glass coating/high-performance coatings/double glazed unit.</t>
  </si>
  <si>
    <t>8d</t>
  </si>
  <si>
    <t>Green measure included: paints with low VOC options.</t>
  </si>
  <si>
    <t>8e</t>
  </si>
  <si>
    <t>Green measure included: pillar cock with infrared sensor and foam flow technology, with provision of online water filter for sediment-free water from terrace tank outlet/distribution line.</t>
  </si>
  <si>
    <t>8f</t>
  </si>
  <si>
    <t>Green measure included: dual plumbing system.</t>
  </si>
  <si>
    <t>8g</t>
  </si>
  <si>
    <t>Green measure included: LED light fixtures.</t>
  </si>
  <si>
    <t>8h</t>
  </si>
  <si>
    <t>Green measure included: BEE-certified 5-star rated fixtures.</t>
  </si>
  <si>
    <t>09 — Annexure-VI: Proforma for Calculation of Building Cost Index</t>
  </si>
  <si>
    <t>Component rates as presented in the PDF. The PDF's second page of the proforma labels the comparison rates as 01.04.2023.</t>
  </si>
  <si>
    <t>S.No.</t>
  </si>
  <si>
    <t>%age</t>
  </si>
  <si>
    <t>Rates as on 01.04.2025 (₹)</t>
  </si>
  <si>
    <t>Proportionate value (₹)</t>
  </si>
  <si>
    <t>Weightage/combined rates (₹)</t>
  </si>
  <si>
    <t>Weightage of Component (%)</t>
  </si>
  <si>
    <t>Rates at revision of Cost Index</t>
  </si>
  <si>
    <t>Cost Index</t>
  </si>
  <si>
    <t>Bricks (Fly Ash)</t>
  </si>
  <si>
    <t>1000 nos.</t>
  </si>
  <si>
    <t>Cement (OPC)</t>
  </si>
  <si>
    <t>qtl.</t>
  </si>
  <si>
    <t>3a</t>
  </si>
  <si>
    <t>TMT Steel Reinforcement bar — 8 &amp; 10 mm dia.</t>
  </si>
  <si>
    <t>3b</t>
  </si>
  <si>
    <t>TMT Steel Reinforcement bar — 12 &amp; 16 mm dia.</t>
  </si>
  <si>
    <t>4a</t>
  </si>
  <si>
    <t>Aggregates 20 mm — Natural sources</t>
  </si>
  <si>
    <t>cum</t>
  </si>
  <si>
    <t>4b</t>
  </si>
  <si>
    <t>Aggregates 20 mm (RCA)</t>
  </si>
  <si>
    <t>Sand (coarse sand) — Natural sources</t>
  </si>
  <si>
    <t>Sand (coarse sand) RA</t>
  </si>
  <si>
    <t>6a</t>
  </si>
  <si>
    <t>Flooring Items — Vitrified tiles</t>
  </si>
  <si>
    <t>6b</t>
  </si>
  <si>
    <t>Flooring Items — Ceramic tiles</t>
  </si>
  <si>
    <t>6c</t>
  </si>
  <si>
    <t>Flooring Items — Kota stone</t>
  </si>
  <si>
    <t>6d</t>
  </si>
  <si>
    <t>Flooring Items — Granite stone</t>
  </si>
  <si>
    <t>7a</t>
  </si>
  <si>
    <t>Paints — Synthetic enamel paint</t>
  </si>
  <si>
    <t>7b</t>
  </si>
  <si>
    <t>Paints — Acrylic washable distemper</t>
  </si>
  <si>
    <t>7c</t>
  </si>
  <si>
    <t>Paints — Premium acrylic paint</t>
  </si>
  <si>
    <t>Door/windows — 35 mm thick flush door shutters, both side commercial veneering</t>
  </si>
  <si>
    <t>Door/windows — Factory made, standard Z-section steel windows</t>
  </si>
  <si>
    <t>Door/windows — uPVC windows</t>
  </si>
  <si>
    <t>Door/windows — Aluminum window</t>
  </si>
  <si>
    <t>9a</t>
  </si>
  <si>
    <t>Pipes — 15 mm GI pipes</t>
  </si>
  <si>
    <t>9b</t>
  </si>
  <si>
    <t>Pipes — 100 mm CI pipes</t>
  </si>
  <si>
    <t>9c</t>
  </si>
  <si>
    <t>Pipes — 20 mm black conduits</t>
  </si>
  <si>
    <t>9d</t>
  </si>
  <si>
    <t>Pipes — 20 mm CPVC pipes</t>
  </si>
  <si>
    <t>10a</t>
  </si>
  <si>
    <t>Lamps &amp; Fans — Ceiling fans 1200 mm</t>
  </si>
  <si>
    <t>10b</t>
  </si>
  <si>
    <t>Lamps &amp; Fans — 1200 mm LED tube lights with fittings</t>
  </si>
  <si>
    <t>10c</t>
  </si>
  <si>
    <t>Lamps &amp; Fans — LED bulbs 9/11 W</t>
  </si>
  <si>
    <t>11</t>
  </si>
  <si>
    <t>Electrical machinery, Motor 7.5 HP (pump set) 1500 RPM</t>
  </si>
  <si>
    <t>12a</t>
  </si>
  <si>
    <t>Wires &amp; cables — Copper wire 1.5 sqmm</t>
  </si>
  <si>
    <t>100 metre</t>
  </si>
  <si>
    <t>12b</t>
  </si>
  <si>
    <t>Wires &amp; cables — Copper wire 4.0 sqmm</t>
  </si>
  <si>
    <t>13a</t>
  </si>
  <si>
    <t>Labour — Skilled</t>
  </si>
  <si>
    <t>13b</t>
  </si>
  <si>
    <t>Labour — Unskilled</t>
  </si>
  <si>
    <t>Purpose: The Building Cost Index indicates the change in construction cost from the base period to the current period. It is calculated using weighted changes in the rates of representative construction materials, equipment and labour.</t>
  </si>
  <si>
    <t>Important source note</t>
  </si>
  <si>
    <t>The PDF notes that aggregates 20 mm and coarse sand are split into 75% natural source and 25% RCA/RA. Where RCA/RA components are unavailable because C&amp;D waste conversion units are not set up, the 25% RCA/RA components may be avoided and 100% natural-source materials considered.</t>
  </si>
  <si>
    <t>The PDF also states that material rates adopted in column 5 and computed rates in columns 6 and 7 are bare rates excluding GST or other levy; for local cost index, bare rates at the respective station shall be considered.</t>
  </si>
  <si>
    <t>Rate ₹</t>
  </si>
  <si>
    <t>Proportionate value ₹</t>
  </si>
  <si>
    <t>Weightage rate ₹</t>
  </si>
  <si>
    <t>Component weight</t>
  </si>
  <si>
    <t>Rate at revision</t>
  </si>
  <si>
    <t>—</t>
  </si>
  <si>
    <t>TMT Steel Reinforcement Bar — 8 &amp; 10 mm dia.</t>
  </si>
  <si>
    <t>TMT Steel Reinforcement Bar — 12 &amp; 16 mm dia.</t>
  </si>
  <si>
    <t>3 Total</t>
  </si>
  <si>
    <t>TMT Steel Reinforcement Bar</t>
  </si>
  <si>
    <t>Combined</t>
  </si>
  <si>
    <t>4 Total</t>
  </si>
  <si>
    <t>Aggregates 20 mm</t>
  </si>
  <si>
    <t>Sand (coarse sand) — RA</t>
  </si>
  <si>
    <t>5 Total</t>
  </si>
  <si>
    <t>Sand (coarse sand)</t>
  </si>
  <si>
    <t>6 Total</t>
  </si>
  <si>
    <t>Flooring Items</t>
  </si>
  <si>
    <t>7 Total</t>
  </si>
  <si>
    <t>Paints</t>
  </si>
  <si>
    <t>Door/windows — 35 mm flush door, veneered both sides</t>
  </si>
  <si>
    <t>Door/windows — Factory-made Z-section steel windows</t>
  </si>
  <si>
    <t>8 Total</t>
  </si>
  <si>
    <t>Door/windows</t>
  </si>
  <si>
    <t>9 Total</t>
  </si>
  <si>
    <t>Pipes</t>
  </si>
  <si>
    <t>10 Total</t>
  </si>
  <si>
    <t>Lamps &amp; Fans</t>
  </si>
  <si>
    <t>Electrical machinery — Motor 7.5 HP (pump set) 1500 RPM</t>
  </si>
  <si>
    <t>12 Total</t>
  </si>
  <si>
    <t>Wires &amp; cables</t>
  </si>
  <si>
    <t>13 Total</t>
  </si>
  <si>
    <t>Labour</t>
  </si>
  <si>
    <t>Component weights sum to 100% (8+14.5+19.5+6.5+3+5+3+7+2.5+4.5+2.5+4+20).</t>
  </si>
  <si>
    <t>10 — Source Coverage &amp; Verification Log</t>
  </si>
  <si>
    <t>Cross-check against all 11 pages of the supplied PDF. Blank cells mean the source does not provide a corresponding value in that row.</t>
  </si>
  <si>
    <t>Check area</t>
  </si>
  <si>
    <t>Finding</t>
  </si>
  <si>
    <t>Status</t>
  </si>
  <si>
    <t>PDF location</t>
  </si>
  <si>
    <t>Document identity</t>
  </si>
  <si>
    <t>Title: Plinth Area Rates 2025</t>
  </si>
  <si>
    <t>Confirmed</t>
  </si>
  <si>
    <t>Page 1</t>
  </si>
  <si>
    <t>Effective date</t>
  </si>
  <si>
    <t>Rates as on 01.04.2025</t>
  </si>
  <si>
    <t>Unit convention</t>
  </si>
  <si>
    <t>Rate in ₹ per sqm for main PAR table</t>
  </si>
  <si>
    <t>Section 1.0</t>
  </si>
  <si>
    <t>Building Cost items 1.1–1.8</t>
  </si>
  <si>
    <t>Included</t>
  </si>
  <si>
    <t>Pages 1–2</t>
  </si>
  <si>
    <t>Section 2.0</t>
  </si>
  <si>
    <t>Services items 2.1–2.4</t>
  </si>
  <si>
    <t>Pages 2–3</t>
  </si>
  <si>
    <t>Section 3.0</t>
  </si>
  <si>
    <t>TPQA &amp; Consultancy items 3.1–3.2</t>
  </si>
  <si>
    <t>Page 3</t>
  </si>
  <si>
    <t>Section 4.0</t>
  </si>
  <si>
    <t>Passenger, Bed and Goods lifts</t>
  </si>
  <si>
    <t>Pages 3–4</t>
  </si>
  <si>
    <t>Section 5.0</t>
  </si>
  <si>
    <t>RCC Water Tank items 5.1–5.5</t>
  </si>
  <si>
    <t>Page 4</t>
  </si>
  <si>
    <t>Section 6.0</t>
  </si>
  <si>
    <t>Development of Site items 6.1–6.9.2</t>
  </si>
  <si>
    <t>Pages 4–5</t>
  </si>
  <si>
    <t>Section 7.0</t>
  </si>
  <si>
    <t>Specialized E&amp;M items 7.1–7.28</t>
  </si>
  <si>
    <t>Pages 5–8</t>
  </si>
  <si>
    <t>Notes</t>
  </si>
  <si>
    <t>Notes 1–8 and subnotes</t>
  </si>
  <si>
    <t>Page 9</t>
  </si>
  <si>
    <t>Annexure-VI</t>
  </si>
  <si>
    <t>Building Cost Index proforma</t>
  </si>
  <si>
    <t>Pages 10–11</t>
  </si>
  <si>
    <t>Duplicate source numbering</t>
  </si>
  <si>
    <t>PDF prints 1.7 twice on page 2; workbook retains one logical 1.7 row because both source occurrences contain the same description and rate.</t>
  </si>
  <si>
    <t>Reviewed</t>
  </si>
  <si>
    <t>Page 2</t>
  </si>
  <si>
    <t>Source numbering anomaly</t>
  </si>
  <si>
    <t>PDF labels conference hall as 7.19 and street lighting also as 7.19/7.19.1; workbook preserves the source labels rather than silently renumbering.</t>
  </si>
  <si>
    <t>Page 7</t>
  </si>
  <si>
    <t>PDF shows Basic Home Security heading 7.15, then subitems 7.15.2 and 7.16.3; workbook preserves these item numbers.</t>
  </si>
  <si>
    <t>Cost-index date label</t>
  </si>
  <si>
    <t>Page 11 shows 'Rates as on 01.04.2023' while the document itself is PAR 2025; workbook preserves the PDF's printed heading and does not overwrite it.</t>
  </si>
  <si>
    <t>Page 11</t>
  </si>
  <si>
    <t>No silent correction</t>
  </si>
  <si>
    <t>Values/descriptions were reorganized for Excel usability but not replaced with external values.</t>
  </si>
  <si>
    <t>Entire document</t>
  </si>
  <si>
    <r>
      <rPr>
        <b/>
        <i/>
        <sz val="9"/>
        <color rgb="FF595959"/>
        <rFont val="Arial"/>
        <family val="2"/>
      </rPr>
      <t>Blue-on-yellow cells = your inputs.</t>
    </r>
    <r>
      <rPr>
        <i/>
        <sz val="9"/>
        <color rgb="FF595959"/>
        <rFont val="Arial"/>
      </rPr>
      <t xml:space="preserve"> All rates/percentages are pulled live by formula from sheets "01 Building Cost" through "07 Specialized E&amp;M" — nothing is retyped. Green text = a value copied from another section of this sheet. Per source Note 1: all rates are inclusive of CP&amp;OH, GST and Labour Welfare Cess; any other local Cess/Levy must be added separately (see input near the Grand Total).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</si>
</sst>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4"/>
      <name val="Calibri"/>
    </font>
    <font>
      <i/>
      <sz val="11"/>
      <color rgb="FF666666"/>
      <name val="Calibri"/>
    </font>
    <font>
      <b/>
      <sz val="11"/>
      <name val="Calibri"/>
    </font>
    <font>
      <b/>
      <sz val="11"/>
      <color theme="1"/>
      <name val="Calibri"/>
      <family val="2"/>
      <scheme val="minor"/>
    </font>
    <font>
      <b/>
      <sz val="11"/>
      <name val="Calibri"/>
      <family val="2"/>
    </font>
    <font>
      <b/>
      <sz val="10"/>
      <name val="Arial"/>
    </font>
    <font>
      <sz val="10"/>
      <name val="Arial"/>
    </font>
    <font>
      <i/>
      <sz val="9"/>
      <color rgb="FF595959"/>
      <name val="Arial"/>
    </font>
    <font>
      <b/>
      <sz val="11"/>
      <color rgb="FFFFFFFF"/>
      <name val="Arial"/>
    </font>
    <font>
      <b/>
      <sz val="9"/>
      <name val="Arial"/>
    </font>
    <font>
      <b/>
      <sz val="10"/>
      <color rgb="FF0000FF"/>
      <name val="Arial"/>
    </font>
    <font>
      <sz val="10"/>
      <color rgb="FF008000"/>
      <name val="Arial"/>
    </font>
    <font>
      <b/>
      <sz val="13"/>
      <color rgb="FFFFFFFF"/>
      <name val="Arial"/>
    </font>
    <font>
      <b/>
      <i/>
      <sz val="9"/>
      <color rgb="FF595959"/>
      <name val="Arial"/>
      <family val="2"/>
    </font>
    <font>
      <i/>
      <sz val="9"/>
      <color rgb="FF595959"/>
      <name val="Arial"/>
      <family val="2"/>
    </font>
    <font>
      <b/>
      <sz val="14"/>
      <color rgb="FF1F4E78"/>
      <name val="Arial"/>
      <family val="2"/>
    </font>
  </fonts>
  <fills count="10">
    <fill>
      <patternFill patternType="none"/>
    </fill>
    <fill>
      <patternFill patternType="gray125"/>
    </fill>
    <fill>
      <patternFill patternType="solid">
        <fgColor rgb="FFD9EAF7"/>
      </patternFill>
    </fill>
    <fill>
      <patternFill patternType="solid">
        <fgColor rgb="FF1F4E78"/>
      </patternFill>
    </fill>
    <fill>
      <patternFill patternType="solid">
        <fgColor rgb="FFD9E1F2"/>
      </patternFill>
    </fill>
    <fill>
      <patternFill patternType="solid">
        <fgColor rgb="FFFFFFCC"/>
      </patternFill>
    </fill>
    <fill>
      <patternFill patternType="solid">
        <fgColor rgb="FFE2EFDA"/>
      </patternFill>
    </fill>
    <fill>
      <patternFill patternType="solid">
        <fgColor rgb="FFF2F2F2"/>
      </patternFill>
    </fill>
    <fill>
      <patternFill patternType="solid">
        <fgColor rgb="FFBDD7EE"/>
      </patternFill>
    </fill>
    <fill>
      <patternFill patternType="solid">
        <fgColor rgb="FFC00000"/>
      </patternFill>
    </fill>
  </fills>
  <borders count="5">
    <border>
      <left/>
      <right/>
      <top/>
      <bottom/>
      <diagonal/>
    </border>
    <border>
      <left/>
      <right/>
      <top/>
      <bottom style="thin">
        <color rgb="FFB7B7B7"/>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69">
    <xf numFmtId="0" fontId="0" fillId="0" borderId="0" xfId="0"/>
    <xf numFmtId="0" fontId="3" fillId="2" borderId="1" xfId="0" applyFont="1" applyFill="1" applyBorder="1" applyAlignment="1">
      <alignment vertical="top" wrapText="1"/>
    </xf>
    <xf numFmtId="0" fontId="0" fillId="0" borderId="0" xfId="0" applyAlignment="1">
      <alignment vertical="top" wrapText="1"/>
    </xf>
    <xf numFmtId="3" fontId="0" fillId="0" borderId="0" xfId="0" applyNumberFormat="1" applyAlignment="1">
      <alignment vertical="top" wrapText="1"/>
    </xf>
    <xf numFmtId="4" fontId="0" fillId="0" borderId="0" xfId="0" applyNumberFormat="1" applyAlignment="1">
      <alignment vertical="top" wrapText="1"/>
    </xf>
    <xf numFmtId="0" fontId="1" fillId="0" borderId="0" xfId="0" applyFont="1" applyAlignment="1">
      <alignment vertical="top"/>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xf>
    <xf numFmtId="0" fontId="4" fillId="0" borderId="0" xfId="0" applyFont="1"/>
    <xf numFmtId="0" fontId="4" fillId="0" borderId="0" xfId="0" applyFont="1" applyAlignment="1">
      <alignment horizontal="left" vertical="center" indent="1"/>
    </xf>
    <xf numFmtId="0" fontId="4" fillId="0" borderId="0" xfId="0" applyFont="1" applyAlignment="1">
      <alignment horizontal="center" vertical="center" wrapText="1"/>
    </xf>
    <xf numFmtId="0" fontId="0" fillId="0" borderId="0" xfId="0" applyAlignment="1">
      <alignment horizontal="right" vertical="center" wrapText="1"/>
    </xf>
    <xf numFmtId="0" fontId="4" fillId="0" borderId="0" xfId="0" applyFont="1" applyAlignment="1">
      <alignment horizontal="right" vertical="center" wrapText="1"/>
    </xf>
    <xf numFmtId="0" fontId="0" fillId="0" borderId="0" xfId="0" applyAlignment="1">
      <alignment vertical="center" wrapText="1"/>
    </xf>
    <xf numFmtId="9" fontId="0" fillId="0" borderId="0" xfId="0" applyNumberFormat="1" applyAlignment="1">
      <alignment horizontal="right" vertical="center" wrapText="1"/>
    </xf>
    <xf numFmtId="4" fontId="0" fillId="0" borderId="0" xfId="0" applyNumberFormat="1" applyAlignment="1">
      <alignment horizontal="right" vertical="center" wrapText="1"/>
    </xf>
    <xf numFmtId="4" fontId="4" fillId="0" borderId="0" xfId="0" applyNumberFormat="1" applyFont="1" applyAlignment="1">
      <alignment horizontal="right" vertical="center" wrapText="1"/>
    </xf>
    <xf numFmtId="10" fontId="0" fillId="0" borderId="0" xfId="0" applyNumberFormat="1" applyAlignment="1">
      <alignment horizontal="right" vertical="center" wrapText="1"/>
    </xf>
    <xf numFmtId="10" fontId="4" fillId="0" borderId="0" xfId="0" applyNumberFormat="1" applyFont="1" applyAlignment="1">
      <alignment horizontal="right" vertical="center" wrapText="1"/>
    </xf>
    <xf numFmtId="0" fontId="4" fillId="0" borderId="0" xfId="0" applyFont="1" applyAlignment="1">
      <alignment vertical="center" wrapText="1"/>
    </xf>
    <xf numFmtId="9" fontId="4" fillId="0" borderId="0" xfId="0" applyNumberFormat="1" applyFont="1" applyAlignment="1">
      <alignment horizontal="right" vertical="center" wrapText="1"/>
    </xf>
    <xf numFmtId="0" fontId="4" fillId="0" borderId="0" xfId="0" applyFont="1" applyAlignment="1">
      <alignment horizontal="left" vertical="center" wrapText="1"/>
    </xf>
    <xf numFmtId="0" fontId="0" fillId="0" borderId="0" xfId="0" applyAlignment="1">
      <alignment horizontal="left" vertical="center" wrapText="1"/>
    </xf>
    <xf numFmtId="0" fontId="5" fillId="2" borderId="1" xfId="0" applyFont="1" applyFill="1" applyBorder="1" applyAlignment="1">
      <alignment vertical="top" wrapText="1"/>
    </xf>
    <xf numFmtId="0" fontId="6" fillId="0" borderId="0" xfId="0" applyFont="1"/>
    <xf numFmtId="0" fontId="7" fillId="0" borderId="0" xfId="0" applyFont="1"/>
    <xf numFmtId="0" fontId="9" fillId="3" borderId="0" xfId="0" applyFont="1" applyFill="1"/>
    <xf numFmtId="0" fontId="10" fillId="4" borderId="2" xfId="0" applyFont="1" applyFill="1" applyBorder="1"/>
    <xf numFmtId="0" fontId="11" fillId="5" borderId="2" xfId="0" applyFont="1" applyFill="1" applyBorder="1"/>
    <xf numFmtId="0" fontId="7" fillId="0" borderId="0" xfId="0" applyFont="1" applyAlignment="1">
      <alignment vertical="center" wrapText="1"/>
    </xf>
    <xf numFmtId="2" fontId="11" fillId="5" borderId="2" xfId="0" applyNumberFormat="1" applyFont="1" applyFill="1" applyBorder="1"/>
    <xf numFmtId="4" fontId="11" fillId="5" borderId="2" xfId="0" applyNumberFormat="1" applyFont="1" applyFill="1" applyBorder="1"/>
    <xf numFmtId="0" fontId="12" fillId="0" borderId="2" xfId="0" applyFont="1" applyBorder="1"/>
    <xf numFmtId="3" fontId="12" fillId="0" borderId="2" xfId="0" applyNumberFormat="1" applyFont="1" applyBorder="1"/>
    <xf numFmtId="0" fontId="8" fillId="0" borderId="0" xfId="0" applyFont="1" applyAlignment="1">
      <alignment vertical="center" wrapText="1"/>
    </xf>
    <xf numFmtId="1" fontId="12" fillId="0" borderId="2" xfId="0" applyNumberFormat="1" applyFont="1" applyBorder="1"/>
    <xf numFmtId="3" fontId="7" fillId="5" borderId="2" xfId="0" applyNumberFormat="1" applyFont="1" applyFill="1" applyBorder="1"/>
    <xf numFmtId="0" fontId="6" fillId="6" borderId="0" xfId="0" applyFont="1" applyFill="1"/>
    <xf numFmtId="0" fontId="0" fillId="6" borderId="0" xfId="0" applyFill="1"/>
    <xf numFmtId="3" fontId="6" fillId="6" borderId="0" xfId="0" applyNumberFormat="1" applyFont="1" applyFill="1"/>
    <xf numFmtId="0" fontId="12" fillId="0" borderId="0" xfId="0" applyFont="1" applyAlignment="1">
      <alignment vertical="center" wrapText="1"/>
    </xf>
    <xf numFmtId="3" fontId="11" fillId="5" borderId="2" xfId="0" applyNumberFormat="1" applyFont="1" applyFill="1" applyBorder="1"/>
    <xf numFmtId="0" fontId="6" fillId="7" borderId="0" xfId="0" applyFont="1" applyFill="1"/>
    <xf numFmtId="0" fontId="0" fillId="7" borderId="0" xfId="0" applyFill="1"/>
    <xf numFmtId="3" fontId="6" fillId="7" borderId="0" xfId="0" applyNumberFormat="1" applyFont="1" applyFill="1"/>
    <xf numFmtId="10" fontId="12" fillId="0" borderId="2" xfId="0" applyNumberFormat="1" applyFont="1" applyBorder="1"/>
    <xf numFmtId="0" fontId="6" fillId="8" borderId="0" xfId="0" applyFont="1" applyFill="1"/>
    <xf numFmtId="0" fontId="0" fillId="8" borderId="0" xfId="0" applyFill="1"/>
    <xf numFmtId="3" fontId="6" fillId="8" borderId="0" xfId="0" applyNumberFormat="1" applyFont="1" applyFill="1"/>
    <xf numFmtId="0" fontId="12" fillId="0" borderId="0" xfId="0" applyFont="1" applyAlignment="1">
      <alignment vertical="center"/>
    </xf>
    <xf numFmtId="1" fontId="11" fillId="5" borderId="2" xfId="0" applyNumberFormat="1" applyFont="1" applyFill="1" applyBorder="1"/>
    <xf numFmtId="4" fontId="7" fillId="5" borderId="2" xfId="0" applyNumberFormat="1" applyFont="1" applyFill="1" applyBorder="1"/>
    <xf numFmtId="0" fontId="7" fillId="0" borderId="0" xfId="0" applyFont="1" applyAlignment="1">
      <alignment vertical="center"/>
    </xf>
    <xf numFmtId="0" fontId="6" fillId="6" borderId="0" xfId="0" applyFont="1" applyFill="1" applyAlignment="1">
      <alignment vertical="center"/>
    </xf>
    <xf numFmtId="3" fontId="6" fillId="6" borderId="2" xfId="0" applyNumberFormat="1" applyFont="1" applyFill="1" applyBorder="1"/>
    <xf numFmtId="10" fontId="11" fillId="5" borderId="2" xfId="0" applyNumberFormat="1" applyFont="1" applyFill="1" applyBorder="1"/>
    <xf numFmtId="0" fontId="8" fillId="0" borderId="0" xfId="0" applyFont="1" applyAlignment="1">
      <alignment vertical="center"/>
    </xf>
    <xf numFmtId="0" fontId="13" fillId="9" borderId="0" xfId="0" applyFont="1" applyFill="1"/>
    <xf numFmtId="0" fontId="0" fillId="9" borderId="0" xfId="0" applyFill="1"/>
    <xf numFmtId="3" fontId="13" fillId="9" borderId="0" xfId="0" applyNumberFormat="1" applyFont="1" applyFill="1"/>
    <xf numFmtId="4" fontId="6" fillId="0" borderId="2" xfId="0" applyNumberFormat="1" applyFont="1" applyBorder="1"/>
    <xf numFmtId="0" fontId="0" fillId="0" borderId="0" xfId="0"/>
    <xf numFmtId="0" fontId="8" fillId="0" borderId="0" xfId="0" applyFont="1" applyAlignment="1">
      <alignment vertical="center" wrapText="1"/>
    </xf>
    <xf numFmtId="0" fontId="8" fillId="0" borderId="2" xfId="0" applyFont="1" applyBorder="1"/>
    <xf numFmtId="0" fontId="0" fillId="0" borderId="3" xfId="0" applyBorder="1"/>
    <xf numFmtId="0" fontId="0" fillId="0" borderId="4" xfId="0" applyBorder="1"/>
    <xf numFmtId="0" fontId="15" fillId="0" borderId="0" xfId="0" applyFont="1" applyAlignment="1">
      <alignment wrapText="1"/>
    </xf>
    <xf numFmtId="0" fontId="1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1" name="BuildingCostTable" displayName="BuildingCostTable" ref="A4:F40">
  <autoFilter ref="A4:F40"/>
  <tableColumns count="6">
    <tableColumn id="1" name="Item No."/>
    <tableColumn id="2" name="Category"/>
    <tableColumn id="3" name="Description / condition"/>
    <tableColumn id="4" name="Building type / applicability"/>
    <tableColumn id="5" name="Rate unit"/>
    <tableColumn id="6" name="Rate"/>
  </tableColumns>
  <tableStyleInfo name="TableStyleMedium2" showFirstColumn="0" showLastColumn="0" showRowStripes="1" showColumnStripes="0"/>
</table>
</file>

<file path=xl/tables/table2.xml><?xml version="1.0" encoding="utf-8"?>
<table xmlns="http://schemas.openxmlformats.org/spreadsheetml/2006/main" id="2" name="ServicesTable" displayName="ServicesTable" ref="A4:E25">
  <autoFilter ref="A4:E25"/>
  <tableColumns count="5">
    <tableColumn id="1" name="Item No."/>
    <tableColumn id="2" name="Description"/>
    <tableColumn id="3" name="Building type / condition"/>
    <tableColumn id="4" name="Rate basis"/>
    <tableColumn id="5" name="Rate (%)"/>
  </tableColumns>
  <tableStyleInfo name="TableStyleMedium2" showFirstColumn="0" showLastColumn="0" showRowStripes="1" showColumnStripes="0"/>
</table>
</file>

<file path=xl/tables/table3.xml><?xml version="1.0" encoding="utf-8"?>
<table xmlns="http://schemas.openxmlformats.org/spreadsheetml/2006/main" id="3" name="ConsultancyTable" displayName="ConsultancyTable" ref="A4:E6">
  <autoFilter ref="A4:E6"/>
  <tableColumns count="5">
    <tableColumn id="1" name="Item No."/>
    <tableColumn id="2" name="Description"/>
    <tableColumn id="3" name="Applicability"/>
    <tableColumn id="4" name="Rate basis"/>
    <tableColumn id="5" name="Rate (%)"/>
  </tableColumns>
  <tableStyleInfo name="TableStyleMedium2" showFirstColumn="0" showLastColumn="0" showRowStripes="1" showColumnStripes="0"/>
</table>
</file>

<file path=xl/tables/table4.xml><?xml version="1.0" encoding="utf-8"?>
<table xmlns="http://schemas.openxmlformats.org/spreadsheetml/2006/main" id="4" name="LiftsTable" displayName="LiftsTable" ref="A4:G17">
  <autoFilter ref="A4:G17"/>
  <tableColumns count="7">
    <tableColumn id="1" name="Item No."/>
    <tableColumn id="2" name="Lift type"/>
    <tableColumn id="3" name="Capacity / persons"/>
    <tableColumn id="4" name="Speed (m/sec)"/>
    <tableColumn id="5" name="Travel height"/>
    <tableColumn id="6" name="Price (₹ lakh)"/>
    <tableColumn id="7" name="Extra per additional floor (₹)"/>
  </tableColumns>
  <tableStyleInfo name="TableStyleMedium2" showFirstColumn="0" showLastColumn="0" showRowStripes="1" showColumnStripes="0"/>
</table>
</file>

<file path=xl/tables/table5.xml><?xml version="1.0" encoding="utf-8"?>
<table xmlns="http://schemas.openxmlformats.org/spreadsheetml/2006/main" id="5" name="WaterTankTable" displayName="WaterTankTable" ref="A4:D9">
  <autoFilter ref="A4:D9"/>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6.xml><?xml version="1.0" encoding="utf-8"?>
<table xmlns="http://schemas.openxmlformats.org/spreadsheetml/2006/main" id="6" name="DevelopmentTable" displayName="DevelopmentTable" ref="A4:D20">
  <autoFilter ref="A4:D20"/>
  <tableColumns count="4">
    <tableColumn id="1" name="Item No."/>
    <tableColumn id="2" name="Description"/>
    <tableColumn id="3" name="Rate unit"/>
    <tableColumn id="4" name="Rate"/>
  </tableColumns>
  <tableStyleInfo name="TableStyleMedium2" showFirstColumn="0" showLastColumn="0" showRowStripes="1" showColumnStripes="0"/>
</table>
</file>

<file path=xl/tables/table7.xml><?xml version="1.0" encoding="utf-8"?>
<table xmlns="http://schemas.openxmlformats.org/spreadsheetml/2006/main" id="7" name="SpecialEMTable" displayName="SpecialEMTable" ref="A4:D43">
  <autoFilter ref="A4:D43"/>
  <tableColumns count="4">
    <tableColumn id="1" name="Item No."/>
    <tableColumn id="2" name="Description / applicability"/>
    <tableColumn id="3" name="Rate unit"/>
    <tableColumn id="4" name="Rate"/>
  </tableColumns>
  <tableStyleInfo name="TableStyleMedium2" showFirstColumn="0" showLastColumn="0" showRowStripes="1" showColumnStripes="0"/>
</table>
</file>

<file path=xl/tables/table8.xml><?xml version="1.0" encoding="utf-8"?>
<table xmlns="http://schemas.openxmlformats.org/spreadsheetml/2006/main" id="8" name="NotesTable" displayName="NotesTable" ref="A4:B22">
  <autoFilter ref="A4:B22"/>
  <tableColumns count="2">
    <tableColumn id="1" name="Note"/>
    <tableColumn id="2" name="Source note"/>
  </tableColumns>
  <tableStyleInfo name="TableStyleMedium2" showFirstColumn="0" showLastColumn="0" showRowStripes="1" showColumnStripes="0"/>
</table>
</file>

<file path=xl/tables/table9.xml><?xml version="1.0" encoding="utf-8"?>
<table xmlns="http://schemas.openxmlformats.org/spreadsheetml/2006/main" id="9" name="CostIndexTable" displayName="CostIndexTable" ref="A4:J35">
  <autoFilter ref="A4:J35"/>
  <tableColumns count="10">
    <tableColumn id="1" name="S.No."/>
    <tableColumn id="2" name="Description"/>
    <tableColumn id="3" name="Unit"/>
    <tableColumn id="4" name="%age"/>
    <tableColumn id="5" name="Rates as on 01.04.2025 (₹)"/>
    <tableColumn id="6" name="Proportionate value (₹)"/>
    <tableColumn id="7" name="Weightage/combined rates (₹)"/>
    <tableColumn id="8" name="Weightage of Component (%)"/>
    <tableColumn id="9" name="Rates at revision of Cost Index"/>
    <tableColumn id="10" name="Cost Index"/>
  </tableColumns>
  <tableStyleInfo name="TableStyleMedium2" showFirstColumn="0" showLastColumn="0" showRowStripes="1" showColumnStripes="0"/>
</table>
</file>

<file path=xl/tables/table10.xml><?xml version="1.0" encoding="utf-8"?>
<table xmlns="http://schemas.openxmlformats.org/spreadsheetml/2006/main" id="10" name="SourceCheckTable" displayName="SourceCheckTable" ref="A4:D21">
  <autoFilter ref="A4:D21"/>
  <tableColumns count="4">
    <tableColumn id="1" name="Check area"/>
    <tableColumn id="2" name="Finding"/>
    <tableColumn id="3" name="Status"/>
    <tableColumn id="4" name="PDF 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1"/>
  <sheetViews>
    <sheetView showGridLines="0" tabSelected="1" workbookViewId="0">
      <pane ySplit="4" topLeftCell="A5" activePane="bottomLeft" state="frozen"/>
      <selection pane="bottomLeft" activeCell="A18" sqref="A18"/>
    </sheetView>
  </sheetViews>
  <sheetFormatPr defaultRowHeight="14.4" x14ac:dyDescent="0.3"/>
  <cols>
    <col min="1" max="1" width="46" customWidth="1"/>
    <col min="2" max="2" width="20" customWidth="1"/>
    <col min="3" max="3" width="16" customWidth="1"/>
    <col min="4" max="4" width="62" customWidth="1"/>
    <col min="5" max="5" width="16" customWidth="1"/>
    <col min="6" max="6" width="30" customWidth="1"/>
    <col min="7" max="7" width="16" customWidth="1"/>
    <col min="8" max="8" width="14" customWidth="1"/>
  </cols>
  <sheetData>
    <row r="1" spans="1:6" ht="17.399999999999999" x14ac:dyDescent="0.3">
      <c r="A1" s="68" t="s">
        <v>0</v>
      </c>
    </row>
    <row r="2" spans="1:6" ht="28.05" customHeight="1" x14ac:dyDescent="0.3">
      <c r="A2" s="67" t="s">
        <v>744</v>
      </c>
      <c r="B2" s="62"/>
      <c r="C2" s="62"/>
      <c r="D2" s="62"/>
      <c r="E2" s="62"/>
      <c r="F2" s="62"/>
    </row>
    <row r="4" spans="1:6" ht="18" customHeight="1" x14ac:dyDescent="0.3">
      <c r="A4" s="27" t="s">
        <v>1</v>
      </c>
      <c r="B4" s="27"/>
      <c r="C4" s="27"/>
      <c r="D4" s="27"/>
      <c r="E4" s="27"/>
    </row>
    <row r="5" spans="1:6" x14ac:dyDescent="0.3">
      <c r="A5" s="28" t="s">
        <v>2</v>
      </c>
      <c r="B5" s="28" t="s">
        <v>3</v>
      </c>
      <c r="C5" s="28" t="s">
        <v>4</v>
      </c>
      <c r="D5" s="28" t="s">
        <v>5</v>
      </c>
      <c r="E5" s="28"/>
      <c r="F5" s="28"/>
    </row>
    <row r="6" spans="1:6" ht="39.6" x14ac:dyDescent="0.3">
      <c r="A6" s="53" t="s">
        <v>6</v>
      </c>
      <c r="B6" s="29" t="s">
        <v>7</v>
      </c>
      <c r="D6" s="30" t="s">
        <v>8</v>
      </c>
    </row>
    <row r="7" spans="1:6" x14ac:dyDescent="0.3">
      <c r="A7" s="53" t="s">
        <v>9</v>
      </c>
      <c r="B7" s="29" t="s">
        <v>10</v>
      </c>
      <c r="D7" s="30" t="s">
        <v>11</v>
      </c>
    </row>
    <row r="8" spans="1:6" ht="26.4" x14ac:dyDescent="0.3">
      <c r="A8" s="53" t="s">
        <v>12</v>
      </c>
      <c r="B8" s="31">
        <v>3.6</v>
      </c>
      <c r="C8" s="53" t="s">
        <v>13</v>
      </c>
      <c r="D8" s="30" t="s">
        <v>14</v>
      </c>
    </row>
    <row r="9" spans="1:6" ht="26.4" x14ac:dyDescent="0.3">
      <c r="A9" s="53" t="s">
        <v>15</v>
      </c>
      <c r="B9" s="31">
        <v>3.6</v>
      </c>
      <c r="C9" s="53" t="s">
        <v>13</v>
      </c>
      <c r="D9" s="30" t="s">
        <v>16</v>
      </c>
    </row>
    <row r="10" spans="1:6" ht="26.4" x14ac:dyDescent="0.3">
      <c r="A10" s="53" t="s">
        <v>17</v>
      </c>
      <c r="B10" s="29">
        <v>1</v>
      </c>
      <c r="D10" s="30" t="s">
        <v>18</v>
      </c>
    </row>
    <row r="11" spans="1:6" ht="26.4" x14ac:dyDescent="0.3">
      <c r="A11" s="53" t="s">
        <v>19</v>
      </c>
      <c r="B11" s="32">
        <v>0</v>
      </c>
      <c r="C11" s="53" t="s">
        <v>20</v>
      </c>
      <c r="D11" s="30" t="s">
        <v>21</v>
      </c>
    </row>
    <row r="12" spans="1:6" ht="26.4" x14ac:dyDescent="0.3">
      <c r="A12" s="53" t="s">
        <v>22</v>
      </c>
      <c r="B12" s="32">
        <v>0</v>
      </c>
      <c r="C12" s="53" t="s">
        <v>20</v>
      </c>
      <c r="D12" s="30" t="s">
        <v>23</v>
      </c>
    </row>
    <row r="13" spans="1:6" ht="26.4" x14ac:dyDescent="0.3">
      <c r="A13" s="53" t="s">
        <v>24</v>
      </c>
      <c r="B13" s="32">
        <v>0</v>
      </c>
      <c r="C13" s="53" t="s">
        <v>20</v>
      </c>
      <c r="D13" s="30" t="s">
        <v>25</v>
      </c>
    </row>
    <row r="15" spans="1:6" ht="18" customHeight="1" x14ac:dyDescent="0.3">
      <c r="A15" s="27" t="s">
        <v>26</v>
      </c>
      <c r="B15" s="27"/>
      <c r="C15" s="27"/>
      <c r="D15" s="27"/>
      <c r="E15" s="27"/>
    </row>
    <row r="16" spans="1:6" x14ac:dyDescent="0.3">
      <c r="A16" s="28" t="s">
        <v>2</v>
      </c>
      <c r="B16" s="28" t="s">
        <v>27</v>
      </c>
      <c r="C16" s="28" t="s">
        <v>4</v>
      </c>
      <c r="D16" s="28" t="s">
        <v>28</v>
      </c>
      <c r="E16" s="28"/>
      <c r="F16" s="28"/>
    </row>
    <row r="17" spans="1:6" ht="39.6" x14ac:dyDescent="0.3">
      <c r="A17" s="53" t="s">
        <v>29</v>
      </c>
      <c r="B17" s="33" t="str">
        <f>IF(OR($B$6="Hostels - with attached toilets",$B$6="Hostels - with common toilets",$B$6="Quarters"),"Hostels/Quarters",$B$6)</f>
        <v>Offices/Colleges</v>
      </c>
      <c r="D17" s="30" t="s">
        <v>30</v>
      </c>
    </row>
    <row r="18" spans="1:6" x14ac:dyDescent="0.3">
      <c r="A18" s="53" t="s">
        <v>31</v>
      </c>
      <c r="B18" s="33" t="str">
        <f>IF($B$7="RCC Framed","RCC FRAMED STRUCTURE (Upto six storeys)","COMPOSITE (PARTIALLY LOAD BEARING AND PARTIALLY RCC FRAMED) STRUCTURE (Upto six storeys)")</f>
        <v>RCC FRAMED STRUCTURE (Upto six storeys)</v>
      </c>
    </row>
    <row r="19" spans="1:6" x14ac:dyDescent="0.3">
      <c r="A19" s="53" t="s">
        <v>32</v>
      </c>
      <c r="B19" s="33" t="str">
        <f>"Floor height "&amp;TEXT($B$8,"0.00")&amp;" metre"</f>
        <v>Floor height 3.60 metre</v>
      </c>
    </row>
    <row r="21" spans="1:6" ht="39.6" x14ac:dyDescent="0.3">
      <c r="A21" s="53" t="s">
        <v>33</v>
      </c>
      <c r="B21" s="34">
        <f>IF(SUMPRODUCT((EXACT('01 Building Cost'!$B$5:$B$40,$B$18))*(EXACT('01 Building Cost'!$C$5:$C$40,$B$19))*(EXACT('01 Building Cost'!$D$5:$D$40,$B$17))*('01 Building Cost'!$F$5:$F$40&lt;&gt;""))=0,"N/A - no source rate for this combination",SUMPRODUCT((EXACT('01 Building Cost'!$B$5:$B$40,$B$18))*(EXACT('01 Building Cost'!$C$5:$C$40,$B$19))*(EXACT('01 Building Cost'!$D$5:$D$40,$B$17))*'01 Building Cost'!$F$5:$F$40))</f>
        <v>30920</v>
      </c>
      <c r="C21" s="53" t="s">
        <v>34</v>
      </c>
      <c r="D21" s="30" t="s">
        <v>35</v>
      </c>
    </row>
    <row r="22" spans="1:6" x14ac:dyDescent="0.3">
      <c r="A22" s="53" t="s">
        <v>36</v>
      </c>
      <c r="B22" s="34">
        <f>IF(ISNUMBER($B$21),$B$21*$B$12,0)</f>
        <v>0</v>
      </c>
      <c r="C22" s="53" t="s">
        <v>37</v>
      </c>
    </row>
    <row r="24" spans="1:6" ht="18" customHeight="1" x14ac:dyDescent="0.3">
      <c r="A24" s="27" t="s">
        <v>38</v>
      </c>
      <c r="B24" s="27"/>
      <c r="C24" s="27"/>
      <c r="D24" s="27"/>
      <c r="E24" s="27"/>
    </row>
    <row r="25" spans="1:6" ht="42" customHeight="1" x14ac:dyDescent="0.3">
      <c r="A25" s="63" t="s">
        <v>39</v>
      </c>
      <c r="B25" s="62"/>
      <c r="C25" s="62"/>
      <c r="D25" s="62"/>
      <c r="E25" s="62"/>
      <c r="F25" s="62"/>
    </row>
    <row r="26" spans="1:6" x14ac:dyDescent="0.3">
      <c r="A26" s="28" t="s">
        <v>40</v>
      </c>
      <c r="B26" s="28" t="s">
        <v>41</v>
      </c>
      <c r="C26" s="28" t="s">
        <v>42</v>
      </c>
      <c r="D26" s="28" t="s">
        <v>43</v>
      </c>
      <c r="E26" s="28" t="s">
        <v>44</v>
      </c>
      <c r="F26" s="28" t="s">
        <v>45</v>
      </c>
    </row>
    <row r="27" spans="1:6" x14ac:dyDescent="0.3">
      <c r="A27" s="53" t="s">
        <v>46</v>
      </c>
      <c r="B27" s="33" t="str">
        <f>7&amp;"-"&amp;12</f>
        <v>7-12</v>
      </c>
      <c r="C27" s="36">
        <f>MAX(0,MIN($B$10,12)-7+1)</f>
        <v>0</v>
      </c>
      <c r="D27" s="34">
        <f>'01 Building Cost'!$F$21*1</f>
        <v>123</v>
      </c>
      <c r="E27" s="37">
        <f t="shared" ref="E27:E36" si="0">IF($B$10=0,0,C27*($B$12/$B$10))</f>
        <v>0</v>
      </c>
      <c r="F27" s="34">
        <f t="shared" ref="F27:F36" si="1">IF(C27=0,0,D27*E27)</f>
        <v>0</v>
      </c>
    </row>
    <row r="28" spans="1:6" x14ac:dyDescent="0.3">
      <c r="A28" s="53" t="s">
        <v>47</v>
      </c>
      <c r="B28" s="33" t="str">
        <f>13&amp;"-"&amp;18</f>
        <v>13-18</v>
      </c>
      <c r="C28" s="36">
        <f>MAX(0,MIN($B$10,18)-13+1)</f>
        <v>0</v>
      </c>
      <c r="D28" s="34">
        <f>'01 Building Cost'!$F$21*2</f>
        <v>246</v>
      </c>
      <c r="E28" s="37">
        <f t="shared" si="0"/>
        <v>0</v>
      </c>
      <c r="F28" s="34">
        <f t="shared" si="1"/>
        <v>0</v>
      </c>
    </row>
    <row r="29" spans="1:6" x14ac:dyDescent="0.3">
      <c r="A29" s="53" t="s">
        <v>48</v>
      </c>
      <c r="B29" s="33" t="str">
        <f>19&amp;"-"&amp;24</f>
        <v>19-24</v>
      </c>
      <c r="C29" s="36">
        <f>MAX(0,MIN($B$10,24)-19+1)</f>
        <v>0</v>
      </c>
      <c r="D29" s="34">
        <f>'01 Building Cost'!$F$21*3</f>
        <v>369</v>
      </c>
      <c r="E29" s="37">
        <f t="shared" si="0"/>
        <v>0</v>
      </c>
      <c r="F29" s="34">
        <f t="shared" si="1"/>
        <v>0</v>
      </c>
    </row>
    <row r="30" spans="1:6" x14ac:dyDescent="0.3">
      <c r="A30" s="53" t="s">
        <v>49</v>
      </c>
      <c r="B30" s="33" t="str">
        <f>25&amp;"-"&amp;30</f>
        <v>25-30</v>
      </c>
      <c r="C30" s="36">
        <f>MAX(0,MIN($B$10,30)-25+1)</f>
        <v>0</v>
      </c>
      <c r="D30" s="34">
        <f>'01 Building Cost'!$F$21*4</f>
        <v>492</v>
      </c>
      <c r="E30" s="37">
        <f t="shared" si="0"/>
        <v>0</v>
      </c>
      <c r="F30" s="34">
        <f t="shared" si="1"/>
        <v>0</v>
      </c>
    </row>
    <row r="31" spans="1:6" x14ac:dyDescent="0.3">
      <c r="A31" s="53" t="s">
        <v>50</v>
      </c>
      <c r="B31" s="33" t="str">
        <f>31&amp;"-"&amp;36</f>
        <v>31-36</v>
      </c>
      <c r="C31" s="36">
        <f>MAX(0,MIN($B$10,36)-31+1)</f>
        <v>0</v>
      </c>
      <c r="D31" s="34">
        <f>'01 Building Cost'!$F$21*5</f>
        <v>615</v>
      </c>
      <c r="E31" s="37">
        <f t="shared" si="0"/>
        <v>0</v>
      </c>
      <c r="F31" s="34">
        <f t="shared" si="1"/>
        <v>0</v>
      </c>
    </row>
    <row r="32" spans="1:6" x14ac:dyDescent="0.3">
      <c r="A32" s="53" t="s">
        <v>51</v>
      </c>
      <c r="B32" s="33" t="str">
        <f>37&amp;"-"&amp;42</f>
        <v>37-42</v>
      </c>
      <c r="C32" s="36">
        <f>MAX(0,MIN($B$10,42)-37+1)</f>
        <v>0</v>
      </c>
      <c r="D32" s="34">
        <f>'01 Building Cost'!$F$21*6</f>
        <v>738</v>
      </c>
      <c r="E32" s="37">
        <f t="shared" si="0"/>
        <v>0</v>
      </c>
      <c r="F32" s="34">
        <f t="shared" si="1"/>
        <v>0</v>
      </c>
    </row>
    <row r="33" spans="1:6" x14ac:dyDescent="0.3">
      <c r="A33" s="53" t="s">
        <v>52</v>
      </c>
      <c r="B33" s="33" t="str">
        <f>43&amp;"-"&amp;48</f>
        <v>43-48</v>
      </c>
      <c r="C33" s="36">
        <f>MAX(0,MIN($B$10,48)-43+1)</f>
        <v>0</v>
      </c>
      <c r="D33" s="34">
        <f>'01 Building Cost'!$F$21*7</f>
        <v>861</v>
      </c>
      <c r="E33" s="37">
        <f t="shared" si="0"/>
        <v>0</v>
      </c>
      <c r="F33" s="34">
        <f t="shared" si="1"/>
        <v>0</v>
      </c>
    </row>
    <row r="34" spans="1:6" x14ac:dyDescent="0.3">
      <c r="A34" s="53" t="s">
        <v>53</v>
      </c>
      <c r="B34" s="33" t="str">
        <f>49&amp;"-"&amp;54</f>
        <v>49-54</v>
      </c>
      <c r="C34" s="36">
        <f>MAX(0,MIN($B$10,54)-49+1)</f>
        <v>0</v>
      </c>
      <c r="D34" s="34">
        <f>'01 Building Cost'!$F$21*8</f>
        <v>984</v>
      </c>
      <c r="E34" s="37">
        <f t="shared" si="0"/>
        <v>0</v>
      </c>
      <c r="F34" s="34">
        <f t="shared" si="1"/>
        <v>0</v>
      </c>
    </row>
    <row r="35" spans="1:6" x14ac:dyDescent="0.3">
      <c r="A35" s="53" t="s">
        <v>54</v>
      </c>
      <c r="B35" s="33" t="str">
        <f>55&amp;"-"&amp;60</f>
        <v>55-60</v>
      </c>
      <c r="C35" s="36">
        <f>MAX(0,MIN($B$10,60)-55+1)</f>
        <v>0</v>
      </c>
      <c r="D35" s="34">
        <f>'01 Building Cost'!$F$21*9</f>
        <v>1107</v>
      </c>
      <c r="E35" s="37">
        <f t="shared" si="0"/>
        <v>0</v>
      </c>
      <c r="F35" s="34">
        <f t="shared" si="1"/>
        <v>0</v>
      </c>
    </row>
    <row r="36" spans="1:6" x14ac:dyDescent="0.3">
      <c r="A36" s="53" t="s">
        <v>55</v>
      </c>
      <c r="B36" s="33" t="str">
        <f>61&amp;"-"&amp;66</f>
        <v>61-66</v>
      </c>
      <c r="C36" s="36">
        <f>MAX(0,MIN($B$10,66)-61+1)</f>
        <v>0</v>
      </c>
      <c r="D36" s="34">
        <f>'01 Building Cost'!$F$21*10</f>
        <v>1230</v>
      </c>
      <c r="E36" s="37">
        <f t="shared" si="0"/>
        <v>0</v>
      </c>
      <c r="F36" s="34">
        <f t="shared" si="1"/>
        <v>0</v>
      </c>
    </row>
    <row r="37" spans="1:6" x14ac:dyDescent="0.3">
      <c r="A37" s="38" t="s">
        <v>56</v>
      </c>
      <c r="B37" s="39"/>
      <c r="C37" s="39"/>
      <c r="D37" s="39"/>
      <c r="E37" s="39"/>
      <c r="F37" s="40">
        <f>SUM(F27:F36)</f>
        <v>0</v>
      </c>
    </row>
    <row r="39" spans="1:6" ht="18" customHeight="1" x14ac:dyDescent="0.3">
      <c r="A39" s="27" t="s">
        <v>57</v>
      </c>
      <c r="B39" s="27"/>
      <c r="C39" s="27"/>
      <c r="D39" s="27"/>
      <c r="E39" s="27"/>
      <c r="F39" s="27"/>
    </row>
    <row r="40" spans="1:6" x14ac:dyDescent="0.3">
      <c r="A40" s="28" t="s">
        <v>58</v>
      </c>
      <c r="B40" s="28" t="s">
        <v>59</v>
      </c>
      <c r="C40" s="28" t="s">
        <v>60</v>
      </c>
      <c r="D40" s="28" t="s">
        <v>61</v>
      </c>
      <c r="E40" s="28" t="s">
        <v>4</v>
      </c>
      <c r="F40" s="28" t="s">
        <v>45</v>
      </c>
    </row>
    <row r="41" spans="1:6" ht="34.200000000000003" x14ac:dyDescent="0.3">
      <c r="A41" s="53" t="s">
        <v>62</v>
      </c>
      <c r="B41" s="35" t="s">
        <v>63</v>
      </c>
      <c r="C41" s="37">
        <f>$B$12</f>
        <v>0</v>
      </c>
      <c r="D41" s="41" t="str">
        <f>'01 Building Cost'!C22</f>
        <v>Every 0.3 metre or part thereof, additional / less height of floor above normal floor height of 3.60 metre / 3.00 metre</v>
      </c>
      <c r="E41" s="57" t="s">
        <v>34</v>
      </c>
      <c r="F41" s="34">
        <f>IF(($B$9-$B$8)&gt;=0,1,-1)*ROUNDUP(ABS(($B$9-$B$8))/0.3,0)*'01 Building Cost'!$F$22*C41</f>
        <v>0</v>
      </c>
    </row>
    <row r="42" spans="1:6" x14ac:dyDescent="0.3">
      <c r="A42" s="53" t="s">
        <v>64</v>
      </c>
      <c r="B42" s="31">
        <v>0.6</v>
      </c>
      <c r="C42" s="34">
        <f t="shared" ref="C42:C47" si="2">$B$11</f>
        <v>0</v>
      </c>
      <c r="D42" s="50" t="str">
        <f>'01 Building Cost'!C23</f>
        <v>Every 0.3 metre or part thereof, higher plinth height over normal plinth height of 0.60 metre (ground floor area only)</v>
      </c>
      <c r="E42" s="57" t="s">
        <v>65</v>
      </c>
      <c r="F42" s="34">
        <f>IF(($B$42-0.6)&gt;=0,1,-1)*ROUNDUP(ABS(($B$42-0.6))/0.3,0)*'01 Building Cost'!$F$23*C42</f>
        <v>0</v>
      </c>
    </row>
    <row r="43" spans="1:6" x14ac:dyDescent="0.3">
      <c r="A43" s="53" t="s">
        <v>66</v>
      </c>
      <c r="B43" s="31">
        <v>1.2</v>
      </c>
      <c r="C43" s="34">
        <f t="shared" si="2"/>
        <v>0</v>
      </c>
      <c r="D43" s="50" t="str">
        <f>'01 Building Cost'!C24</f>
        <v>Every 0.30 metre or part thereof, deeper foundations over normal depth of 1.20 metre (ground floor area only)</v>
      </c>
      <c r="E43" s="57" t="s">
        <v>67</v>
      </c>
      <c r="F43" s="34">
        <f>IF(($B$43-1.2)&gt;=0,1,-1)*ROUNDUP(ABS(($B$43-1.2))/0.3,0)*'01 Building Cost'!$F$24*C43</f>
        <v>0</v>
      </c>
    </row>
    <row r="44" spans="1:6" x14ac:dyDescent="0.3">
      <c r="A44" s="53" t="s">
        <v>68</v>
      </c>
      <c r="B44" s="29" t="s">
        <v>69</v>
      </c>
      <c r="C44" s="34">
        <f t="shared" si="2"/>
        <v>0</v>
      </c>
      <c r="D44" s="50" t="str">
        <f>'01 Building Cost'!C25</f>
        <v>Making stronger foundations to take load of one additional floor at a later date (ground floor area only)</v>
      </c>
      <c r="E44" s="57" t="s">
        <v>70</v>
      </c>
      <c r="F44" s="34">
        <f>IF($B$44="Yes",IF($B$7="RCC Framed",'01 Building Cost'!$F$25,'01 Building Cost'!$F$26)*C44,0)</f>
        <v>0</v>
      </c>
    </row>
    <row r="45" spans="1:6" x14ac:dyDescent="0.3">
      <c r="A45" s="53" t="s">
        <v>71</v>
      </c>
      <c r="B45" s="29" t="s">
        <v>69</v>
      </c>
      <c r="C45" s="34">
        <f t="shared" si="2"/>
        <v>0</v>
      </c>
      <c r="D45" s="50" t="str">
        <f>'01 Building Cost'!B27&amp;" — "&amp;'01 Building Cost'!C27</f>
        <v>RCC raft foundation — Ground floor area only</v>
      </c>
      <c r="F45" s="34">
        <f>IF($B$45="Yes",'01 Building Cost'!$F$27*C45,0)</f>
        <v>0</v>
      </c>
    </row>
    <row r="46" spans="1:6" x14ac:dyDescent="0.3">
      <c r="A46" s="53" t="s">
        <v>72</v>
      </c>
      <c r="B46" s="29" t="s">
        <v>69</v>
      </c>
      <c r="C46" s="34">
        <f t="shared" si="2"/>
        <v>0</v>
      </c>
      <c r="D46" s="50" t="str">
        <f>'01 Building Cost'!B28</f>
        <v>Pile foundation upto a depth of 15 metre</v>
      </c>
      <c r="F46" s="34">
        <f>IF($B$46="Yes",'01 Building Cost'!$F$28*C46,0)</f>
        <v>0</v>
      </c>
    </row>
    <row r="47" spans="1:6" x14ac:dyDescent="0.3">
      <c r="A47" s="53" t="s">
        <v>73</v>
      </c>
      <c r="B47" s="31">
        <v>15</v>
      </c>
      <c r="C47" s="34">
        <f t="shared" si="2"/>
        <v>0</v>
      </c>
      <c r="D47" s="50" t="str">
        <f>'01 Building Cost'!B29</f>
        <v>Every 1.0 m deeper pile foundation over normal depth of 15 metre</v>
      </c>
      <c r="E47" s="57" t="s">
        <v>74</v>
      </c>
      <c r="F47" s="34">
        <f>IF($B$46="Yes",ROUNDUP(MAX(0,$B$47-15),0)*'01 Building Cost'!$F$29*C47,0)</f>
        <v>0</v>
      </c>
    </row>
    <row r="48" spans="1:6" x14ac:dyDescent="0.3">
      <c r="A48" s="53" t="s">
        <v>75</v>
      </c>
      <c r="B48" s="29" t="s">
        <v>69</v>
      </c>
      <c r="C48" s="37">
        <f>$B$12</f>
        <v>0</v>
      </c>
      <c r="D48" s="50" t="str">
        <f>'01 Building Cost'!C30</f>
        <v>Applicable area</v>
      </c>
      <c r="E48" s="57" t="s">
        <v>76</v>
      </c>
      <c r="F48" s="34">
        <f>IF($B$48="Yes",'01 Building Cost'!$F$30*C48,0)</f>
        <v>0</v>
      </c>
    </row>
    <row r="49" spans="1:6" x14ac:dyDescent="0.3">
      <c r="A49" s="53" t="s">
        <v>77</v>
      </c>
      <c r="B49" s="29" t="s">
        <v>69</v>
      </c>
      <c r="C49" s="42">
        <v>0</v>
      </c>
      <c r="D49" s="50" t="str">
        <f>'01 Building Cost'!C31</f>
        <v>Floor height upto 3.35 metre including water proofing (excluding raft base)</v>
      </c>
      <c r="E49" s="57" t="s">
        <v>78</v>
      </c>
      <c r="F49" s="34">
        <f>IF($B$49="Yes",'01 Building Cost'!$F$31*C49,0)</f>
        <v>0</v>
      </c>
    </row>
    <row r="50" spans="1:6" x14ac:dyDescent="0.3">
      <c r="A50" s="53" t="s">
        <v>79</v>
      </c>
      <c r="B50" s="31">
        <v>3.35</v>
      </c>
      <c r="C50" s="34">
        <f>$C$49</f>
        <v>0</v>
      </c>
      <c r="D50" s="50" t="str">
        <f>'01 Building Cost'!C32</f>
        <v>Add or deduct for every 0.30 metre, or part thereof, height against normal height of 3.35 metre</v>
      </c>
      <c r="E50" s="57" t="s">
        <v>80</v>
      </c>
      <c r="F50" s="34">
        <f>IF($B$49="Yes",IF(($B$50-3.35)&gt;=0,1,-1)*ROUNDUP(ABS(($B$50-3.35))/0.3,0)*'01 Building Cost'!$F$32*C50,0)</f>
        <v>0</v>
      </c>
    </row>
    <row r="51" spans="1:6" x14ac:dyDescent="0.3">
      <c r="A51" s="53" t="s">
        <v>81</v>
      </c>
      <c r="B51" s="29" t="s">
        <v>69</v>
      </c>
      <c r="C51" s="37">
        <f>$C$49</f>
        <v>0</v>
      </c>
      <c r="D51" s="50" t="str">
        <f>'01 Building Cost'!C38</f>
        <v>With supply duct of exhaust blowers; on areas where mechanical ventilation is required</v>
      </c>
      <c r="E51" s="57" t="s">
        <v>82</v>
      </c>
      <c r="F51" s="34">
        <f>IF(AND($B$49="Yes",$B$51="Yes"),'01 Building Cost'!$F$38*C51,0)</f>
        <v>0</v>
      </c>
    </row>
    <row r="52" spans="1:6" x14ac:dyDescent="0.3">
      <c r="A52" s="53" t="s">
        <v>83</v>
      </c>
      <c r="B52" s="29" t="s">
        <v>69</v>
      </c>
      <c r="C52" s="42">
        <v>0</v>
      </c>
      <c r="D52" s="50" t="str">
        <f>'01 Building Cost'!C39</f>
        <v>Stilt portion of multi-storey buildings upto floor height of 3.60 metre (on stilt area only)</v>
      </c>
      <c r="E52" s="57" t="s">
        <v>84</v>
      </c>
      <c r="F52" s="34">
        <f>IF($B$52="Yes",'01 Building Cost'!$F$39*C52,0)</f>
        <v>0</v>
      </c>
    </row>
    <row r="53" spans="1:6" x14ac:dyDescent="0.3">
      <c r="A53" s="53" t="s">
        <v>85</v>
      </c>
      <c r="B53" s="31">
        <v>3.6</v>
      </c>
      <c r="C53" s="34">
        <f>$C$52</f>
        <v>0</v>
      </c>
      <c r="D53" s="50" t="str">
        <f>'01 Building Cost'!C40</f>
        <v>Every 0.30 metre additional height above 3.60 metre</v>
      </c>
      <c r="E53" s="57" t="s">
        <v>86</v>
      </c>
      <c r="F53" s="34">
        <f>IF($B$52="Yes",ROUNDUP(MAX(0,$B$53-3.6)/0.3,0)*'01 Building Cost'!$F$40*C53,0)</f>
        <v>0</v>
      </c>
    </row>
    <row r="54" spans="1:6" x14ac:dyDescent="0.3">
      <c r="A54" s="53" t="s">
        <v>87</v>
      </c>
      <c r="B54" s="29" t="s">
        <v>88</v>
      </c>
      <c r="C54" s="34">
        <f>$B$12</f>
        <v>0</v>
      </c>
      <c r="D54" s="35" t="s">
        <v>89</v>
      </c>
      <c r="E54" s="57" t="s">
        <v>34</v>
      </c>
      <c r="F54" s="34">
        <f>IF($B$54="Downcomer System",'01 Building Cost'!$F$33,IF($B$54="Wet riser system",'01 Building Cost'!$F$34,IF($B$54="Wet riser and sprinkler system",'01 Building Cost'!$F$35,0)))*C54</f>
        <v>0</v>
      </c>
    </row>
    <row r="55" spans="1:6" x14ac:dyDescent="0.3">
      <c r="A55" s="53" t="s">
        <v>90</v>
      </c>
      <c r="B55" s="29" t="s">
        <v>88</v>
      </c>
      <c r="C55" s="34">
        <f>$B$12</f>
        <v>0</v>
      </c>
      <c r="D55" s="35" t="s">
        <v>89</v>
      </c>
      <c r="E55" s="57" t="s">
        <v>34</v>
      </c>
      <c r="F55" s="34">
        <f>IF($B$55="Manual fire alarm system",'01 Building Cost'!$F$36,IF($B$55="Automatic fire alarm system",'01 Building Cost'!$F$37,0))*C55</f>
        <v>0</v>
      </c>
    </row>
    <row r="57" spans="1:6" x14ac:dyDescent="0.3">
      <c r="A57" s="38" t="s">
        <v>91</v>
      </c>
      <c r="B57" s="39"/>
      <c r="C57" s="39"/>
      <c r="D57" s="39"/>
      <c r="E57" s="39"/>
      <c r="F57" s="40">
        <f>$B$22+$F$37+$F$41+$F$42+$F$43+$F$44+$F$45+$F$46+$F$47+$F$48+$F$49+$F$50+$F$51+$F$52+$F$53+$F$54+$F$55</f>
        <v>0</v>
      </c>
    </row>
    <row r="58" spans="1:6" x14ac:dyDescent="0.3">
      <c r="A58" s="43" t="s">
        <v>92</v>
      </c>
      <c r="B58" s="44"/>
      <c r="C58" s="44"/>
      <c r="D58" s="44"/>
      <c r="E58" s="44"/>
      <c r="F58" s="45">
        <f>$F$57-($F$43+$F$44+$F$45+$F$46+$F$47+$F$48+$F$54+$F$55)</f>
        <v>0</v>
      </c>
    </row>
    <row r="60" spans="1:6" ht="18" customHeight="1" x14ac:dyDescent="0.3">
      <c r="A60" s="27" t="s">
        <v>93</v>
      </c>
      <c r="B60" s="27"/>
      <c r="C60" s="27"/>
      <c r="D60" s="27"/>
      <c r="E60" s="27"/>
      <c r="F60" s="27"/>
    </row>
    <row r="61" spans="1:6" x14ac:dyDescent="0.3">
      <c r="A61" s="28" t="s">
        <v>2</v>
      </c>
      <c r="B61" s="28"/>
      <c r="C61" s="28"/>
      <c r="D61" s="28" t="s">
        <v>61</v>
      </c>
      <c r="E61" s="28" t="s">
        <v>94</v>
      </c>
      <c r="F61" s="28" t="s">
        <v>45</v>
      </c>
    </row>
    <row r="62" spans="1:6" x14ac:dyDescent="0.3">
      <c r="A62" s="53" t="s">
        <v>95</v>
      </c>
      <c r="D62" s="35" t="s">
        <v>96</v>
      </c>
      <c r="E62" s="46">
        <f>SUMPRODUCT((EXACT('02 Services'!$C$5:$C$10,$B$6))*'02 Services'!$E$5:$E$10)/100</f>
        <v>0.04</v>
      </c>
      <c r="F62" s="34">
        <f t="shared" ref="F62:F67" si="3">E62*$F$58</f>
        <v>0</v>
      </c>
    </row>
    <row r="63" spans="1:6" x14ac:dyDescent="0.3">
      <c r="A63" s="53" t="s">
        <v>97</v>
      </c>
      <c r="D63" s="50" t="str">
        <f>'02 Services'!B11</f>
        <v>Electrical external service connections</v>
      </c>
      <c r="E63" s="46">
        <f>'02 Services'!$E$11/100</f>
        <v>3.7499999999999999E-2</v>
      </c>
      <c r="F63" s="34">
        <f t="shared" si="3"/>
        <v>0</v>
      </c>
    </row>
    <row r="64" spans="1:6" x14ac:dyDescent="0.3">
      <c r="A64" s="53" t="s">
        <v>98</v>
      </c>
      <c r="D64" s="50" t="str">
        <f>'02 Services'!B12</f>
        <v>Civil external service connections</v>
      </c>
      <c r="E64" s="46">
        <f>'02 Services'!$E$12/100</f>
        <v>1.2500000000000001E-2</v>
      </c>
      <c r="F64" s="34">
        <f t="shared" si="3"/>
        <v>0</v>
      </c>
    </row>
    <row r="65" spans="1:8" x14ac:dyDescent="0.3">
      <c r="A65" s="53" t="s">
        <v>99</v>
      </c>
      <c r="D65" s="50" t="str">
        <f>'02 Services'!B13</f>
        <v>Local body approvals including tree cutting etc.</v>
      </c>
      <c r="E65" s="46">
        <f>'02 Services'!$E$13/100</f>
        <v>1.2500000000000001E-2</v>
      </c>
      <c r="F65" s="34">
        <f t="shared" si="3"/>
        <v>0</v>
      </c>
    </row>
    <row r="66" spans="1:8" x14ac:dyDescent="0.3">
      <c r="A66" s="53" t="s">
        <v>100</v>
      </c>
      <c r="D66" s="50" t="str">
        <f>'02 Services'!B14</f>
        <v>Internal electric installations</v>
      </c>
      <c r="E66" s="46">
        <f>'02 Services'!$E$14/100</f>
        <v>0.125</v>
      </c>
      <c r="F66" s="34">
        <f t="shared" si="3"/>
        <v>0</v>
      </c>
    </row>
    <row r="67" spans="1:8" x14ac:dyDescent="0.3">
      <c r="A67" s="53" t="s">
        <v>101</v>
      </c>
      <c r="D67" s="50" t="str">
        <f>'02 Services'!B15</f>
        <v>Power wiring and plugs</v>
      </c>
      <c r="E67" s="46">
        <f>'02 Services'!$E$15/100</f>
        <v>0.04</v>
      </c>
      <c r="F67" s="34">
        <f t="shared" si="3"/>
        <v>0</v>
      </c>
    </row>
    <row r="68" spans="1:8" x14ac:dyDescent="0.3">
      <c r="A68" s="53" t="s">
        <v>102</v>
      </c>
      <c r="D68" s="35" t="s">
        <v>103</v>
      </c>
      <c r="E68" s="46">
        <f>IF(SUMPRODUCT((EXACT('02 Services'!$C$16:$C$20,IF(OR($B$6="Hostels - with attached toilets",$B$6="Hostels - with common toilets"),"Hostels",$B$6)))*('02 Services'!$E$16:$E$20&lt;&gt;""))=0,"N/A",SUMPRODUCT((EXACT('02 Services'!$C$16:$C$20,IF(OR($B$6="Hostels - with attached toilets",$B$6="Hostels - with common toilets"),"Hostels",$B$6)))*'02 Services'!$E$16:$E$20)/100)</f>
        <v>2.5000000000000001E-3</v>
      </c>
      <c r="F68" s="34">
        <f>IF(ISNUMBER(E68),E68*$F$58,0)</f>
        <v>0</v>
      </c>
    </row>
    <row r="69" spans="1:8" x14ac:dyDescent="0.3">
      <c r="A69" s="53" t="s">
        <v>104</v>
      </c>
      <c r="D69" s="35" t="s">
        <v>103</v>
      </c>
      <c r="E69" s="46">
        <f>IF(SUMPRODUCT((EXACT('02 Services'!$C$21:$C$25,IF(OR($B$6="Hostels - with attached toilets",$B$6="Hostels - with common toilets"),"Hostels",$B$6)))*('02 Services'!$E$21:$E$25&lt;&gt;""))=0,"N/A",SUMPRODUCT((EXACT('02 Services'!$C$21:$C$25,IF(OR($B$6="Hostels - with attached toilets",$B$6="Hostels - with common toilets"),"Hostels",$B$6)))*'02 Services'!$E$21:$E$25)/100)</f>
        <v>2.5000000000000001E-3</v>
      </c>
      <c r="F69" s="34">
        <f>IF(ISNUMBER(E69),E69*$F$58,0)</f>
        <v>0</v>
      </c>
    </row>
    <row r="70" spans="1:8" x14ac:dyDescent="0.3">
      <c r="A70" s="38" t="s">
        <v>105</v>
      </c>
      <c r="B70" s="39"/>
      <c r="C70" s="39"/>
      <c r="D70" s="39"/>
      <c r="E70" s="39"/>
      <c r="F70" s="40">
        <f>$F$62+$F$63+$F$64+$F$65+$F$66+$F$67+$F$68+$F$69</f>
        <v>0</v>
      </c>
    </row>
    <row r="71" spans="1:8" x14ac:dyDescent="0.3">
      <c r="A71" s="47" t="s">
        <v>106</v>
      </c>
      <c r="B71" s="48"/>
      <c r="C71" s="48"/>
      <c r="D71" s="48"/>
      <c r="E71" s="48"/>
      <c r="F71" s="49">
        <f>$F$57+$F$70</f>
        <v>0</v>
      </c>
    </row>
    <row r="73" spans="1:8" ht="18" customHeight="1" x14ac:dyDescent="0.3">
      <c r="A73" s="27" t="s">
        <v>107</v>
      </c>
      <c r="B73" s="27"/>
      <c r="C73" s="27"/>
      <c r="D73" s="27"/>
      <c r="E73" s="27"/>
      <c r="F73" s="27"/>
      <c r="G73" s="27"/>
    </row>
    <row r="74" spans="1:8" x14ac:dyDescent="0.3">
      <c r="A74" s="28" t="s">
        <v>2</v>
      </c>
      <c r="B74" s="28" t="s">
        <v>108</v>
      </c>
      <c r="C74" s="28"/>
      <c r="D74" s="28" t="s">
        <v>61</v>
      </c>
      <c r="E74" s="28" t="s">
        <v>94</v>
      </c>
      <c r="F74" s="28" t="s">
        <v>45</v>
      </c>
    </row>
    <row r="75" spans="1:8" x14ac:dyDescent="0.3">
      <c r="A75" s="53" t="s">
        <v>109</v>
      </c>
      <c r="B75" s="29" t="s">
        <v>69</v>
      </c>
      <c r="D75" s="50" t="str">
        <f>'03 TPQA Consultancy'!B6</f>
        <v>Consultancy Services for Architectural, Structural and MEP Services, if outsourced</v>
      </c>
      <c r="E75" s="46">
        <f>'03 TPQA Consultancy'!$E$5/100</f>
        <v>0.01</v>
      </c>
      <c r="F75" s="34">
        <f>IF($B$75="Yes",E75*$F$71,0)</f>
        <v>0</v>
      </c>
    </row>
    <row r="76" spans="1:8" x14ac:dyDescent="0.3">
      <c r="A76" s="53" t="s">
        <v>110</v>
      </c>
      <c r="B76" s="29" t="s">
        <v>69</v>
      </c>
      <c r="D76" s="50" t="str">
        <f>'03 TPQA Consultancy'!B6</f>
        <v>Consultancy Services for Architectural, Structural and MEP Services, if outsourced</v>
      </c>
      <c r="E76" s="46">
        <f>'03 TPQA Consultancy'!$E$6/100</f>
        <v>1.7500000000000002E-2</v>
      </c>
      <c r="F76" s="34">
        <f>IF($B$76="Yes",E76*$F$71,0)</f>
        <v>0</v>
      </c>
    </row>
    <row r="77" spans="1:8" x14ac:dyDescent="0.3">
      <c r="A77" s="38" t="s">
        <v>111</v>
      </c>
      <c r="B77" s="39"/>
      <c r="C77" s="39"/>
      <c r="D77" s="39"/>
      <c r="E77" s="39"/>
      <c r="F77" s="40">
        <f>$F$75+$F$76</f>
        <v>0</v>
      </c>
      <c r="G77" s="39"/>
    </row>
    <row r="79" spans="1:8" ht="18" customHeight="1" x14ac:dyDescent="0.3">
      <c r="A79" s="27" t="s">
        <v>112</v>
      </c>
      <c r="B79" s="27"/>
      <c r="C79" s="27"/>
      <c r="D79" s="27"/>
      <c r="E79" s="27"/>
      <c r="F79" s="27"/>
      <c r="G79" s="27"/>
    </row>
    <row r="80" spans="1:8" ht="40.049999999999997" customHeight="1" x14ac:dyDescent="0.3">
      <c r="A80" s="63" t="s">
        <v>113</v>
      </c>
      <c r="B80" s="62"/>
      <c r="C80" s="62"/>
      <c r="D80" s="62"/>
      <c r="E80" s="62"/>
      <c r="F80" s="62"/>
      <c r="G80" s="62"/>
      <c r="H80" s="62"/>
    </row>
    <row r="81" spans="1:8" x14ac:dyDescent="0.3">
      <c r="A81" s="28" t="s">
        <v>114</v>
      </c>
      <c r="B81" s="28" t="s">
        <v>115</v>
      </c>
      <c r="C81" s="28" t="s">
        <v>116</v>
      </c>
      <c r="D81" s="28" t="s">
        <v>117</v>
      </c>
      <c r="E81" s="28" t="s">
        <v>118</v>
      </c>
      <c r="F81" s="28" t="s">
        <v>119</v>
      </c>
      <c r="G81" s="28" t="s">
        <v>120</v>
      </c>
      <c r="H81" s="28" t="s">
        <v>121</v>
      </c>
    </row>
    <row r="82" spans="1:8" x14ac:dyDescent="0.3">
      <c r="A82" s="29"/>
      <c r="B82" s="51">
        <v>0</v>
      </c>
      <c r="C82" s="51">
        <v>0</v>
      </c>
      <c r="D82" s="36">
        <f>IF($A82="",0,SUMPRODUCT((EXACT('04 Lifts'!$B$5:$B$17&amp;" "&amp;'04 Lifts'!$C$5:$C$17&amp;"-person, "&amp;'04 Lifts'!$D$5:$D$17&amp;" m/s, "&amp;'04 Lifts'!$E$5:$E$17,$A82))*'04 Lifts'!$H$5:$H$17))</f>
        <v>0</v>
      </c>
      <c r="E82" s="36">
        <f t="shared" ref="E82:E87" si="4">IF($A82="",0,MAX(0,$C82-D82))</f>
        <v>0</v>
      </c>
      <c r="F82" s="34">
        <f>IF($A82="",0,SUMPRODUCT((EXACT('04 Lifts'!$B$5:$B$17&amp;" "&amp;'04 Lifts'!$C$5:$C$17&amp;"-person, "&amp;'04 Lifts'!$D$5:$D$17&amp;" m/s, "&amp;'04 Lifts'!$E$5:$E$17,$A82))*'04 Lifts'!$F$5:$F$17)*100000)</f>
        <v>0</v>
      </c>
      <c r="G82" s="34">
        <f>IF($A82="",0,SUMPRODUCT((EXACT('04 Lifts'!$B$5:$B$17&amp;" "&amp;'04 Lifts'!$C$5:$C$17&amp;"-person, "&amp;'04 Lifts'!$D$5:$D$17&amp;" m/s, "&amp;'04 Lifts'!$E$5:$E$17,$A82))*'04 Lifts'!$G$5:$G$17))</f>
        <v>0</v>
      </c>
      <c r="H82" s="34">
        <f t="shared" ref="H82:H87" si="5">$B82*(F82+E82*G82)</f>
        <v>0</v>
      </c>
    </row>
    <row r="83" spans="1:8" x14ac:dyDescent="0.3">
      <c r="A83" s="29"/>
      <c r="B83" s="51">
        <v>0</v>
      </c>
      <c r="C83" s="51">
        <v>0</v>
      </c>
      <c r="D83" s="36">
        <f>IF($A83="",0,SUMPRODUCT((EXACT('04 Lifts'!$B$5:$B$17&amp;" "&amp;'04 Lifts'!$C$5:$C$17&amp;"-person, "&amp;'04 Lifts'!$D$5:$D$17&amp;" m/s, "&amp;'04 Lifts'!$E$5:$E$17,$A83))*'04 Lifts'!$H$5:$H$17))</f>
        <v>0</v>
      </c>
      <c r="E83" s="36">
        <f t="shared" si="4"/>
        <v>0</v>
      </c>
      <c r="F83" s="34">
        <f>IF($A83="",0,SUMPRODUCT((EXACT('04 Lifts'!$B$5:$B$17&amp;" "&amp;'04 Lifts'!$C$5:$C$17&amp;"-person, "&amp;'04 Lifts'!$D$5:$D$17&amp;" m/s, "&amp;'04 Lifts'!$E$5:$E$17,$A83))*'04 Lifts'!$F$5:$F$17)*100000)</f>
        <v>0</v>
      </c>
      <c r="G83" s="34">
        <f>IF($A83="",0,SUMPRODUCT((EXACT('04 Lifts'!$B$5:$B$17&amp;" "&amp;'04 Lifts'!$C$5:$C$17&amp;"-person, "&amp;'04 Lifts'!$D$5:$D$17&amp;" m/s, "&amp;'04 Lifts'!$E$5:$E$17,$A83))*'04 Lifts'!$G$5:$G$17))</f>
        <v>0</v>
      </c>
      <c r="H83" s="34">
        <f t="shared" si="5"/>
        <v>0</v>
      </c>
    </row>
    <row r="84" spans="1:8" x14ac:dyDescent="0.3">
      <c r="A84" s="29"/>
      <c r="B84" s="51">
        <v>0</v>
      </c>
      <c r="C84" s="51">
        <v>0</v>
      </c>
      <c r="D84" s="36">
        <f>IF($A84="",0,SUMPRODUCT((EXACT('04 Lifts'!$B$5:$B$17&amp;" "&amp;'04 Lifts'!$C$5:$C$17&amp;"-person, "&amp;'04 Lifts'!$D$5:$D$17&amp;" m/s, "&amp;'04 Lifts'!$E$5:$E$17,$A84))*'04 Lifts'!$H$5:$H$17))</f>
        <v>0</v>
      </c>
      <c r="E84" s="36">
        <f t="shared" si="4"/>
        <v>0</v>
      </c>
      <c r="F84" s="34">
        <f>IF($A84="",0,SUMPRODUCT((EXACT('04 Lifts'!$B$5:$B$17&amp;" "&amp;'04 Lifts'!$C$5:$C$17&amp;"-person, "&amp;'04 Lifts'!$D$5:$D$17&amp;" m/s, "&amp;'04 Lifts'!$E$5:$E$17,$A84))*'04 Lifts'!$F$5:$F$17)*100000)</f>
        <v>0</v>
      </c>
      <c r="G84" s="34">
        <f>IF($A84="",0,SUMPRODUCT((EXACT('04 Lifts'!$B$5:$B$17&amp;" "&amp;'04 Lifts'!$C$5:$C$17&amp;"-person, "&amp;'04 Lifts'!$D$5:$D$17&amp;" m/s, "&amp;'04 Lifts'!$E$5:$E$17,$A84))*'04 Lifts'!$G$5:$G$17))</f>
        <v>0</v>
      </c>
      <c r="H84" s="34">
        <f t="shared" si="5"/>
        <v>0</v>
      </c>
    </row>
    <row r="85" spans="1:8" x14ac:dyDescent="0.3">
      <c r="A85" s="29"/>
      <c r="B85" s="51">
        <v>0</v>
      </c>
      <c r="C85" s="51">
        <v>0</v>
      </c>
      <c r="D85" s="36">
        <f>IF($A85="",0,SUMPRODUCT((EXACT('04 Lifts'!$B$5:$B$17&amp;" "&amp;'04 Lifts'!$C$5:$C$17&amp;"-person, "&amp;'04 Lifts'!$D$5:$D$17&amp;" m/s, "&amp;'04 Lifts'!$E$5:$E$17,$A85))*'04 Lifts'!$H$5:$H$17))</f>
        <v>0</v>
      </c>
      <c r="E85" s="36">
        <f t="shared" si="4"/>
        <v>0</v>
      </c>
      <c r="F85" s="34">
        <f>IF($A85="",0,SUMPRODUCT((EXACT('04 Lifts'!$B$5:$B$17&amp;" "&amp;'04 Lifts'!$C$5:$C$17&amp;"-person, "&amp;'04 Lifts'!$D$5:$D$17&amp;" m/s, "&amp;'04 Lifts'!$E$5:$E$17,$A85))*'04 Lifts'!$F$5:$F$17)*100000)</f>
        <v>0</v>
      </c>
      <c r="G85" s="34">
        <f>IF($A85="",0,SUMPRODUCT((EXACT('04 Lifts'!$B$5:$B$17&amp;" "&amp;'04 Lifts'!$C$5:$C$17&amp;"-person, "&amp;'04 Lifts'!$D$5:$D$17&amp;" m/s, "&amp;'04 Lifts'!$E$5:$E$17,$A85))*'04 Lifts'!$G$5:$G$17))</f>
        <v>0</v>
      </c>
      <c r="H85" s="34">
        <f t="shared" si="5"/>
        <v>0</v>
      </c>
    </row>
    <row r="86" spans="1:8" x14ac:dyDescent="0.3">
      <c r="A86" s="29"/>
      <c r="B86" s="51">
        <v>0</v>
      </c>
      <c r="C86" s="51">
        <v>0</v>
      </c>
      <c r="D86" s="36">
        <f>IF($A86="",0,SUMPRODUCT((EXACT('04 Lifts'!$B$5:$B$17&amp;" "&amp;'04 Lifts'!$C$5:$C$17&amp;"-person, "&amp;'04 Lifts'!$D$5:$D$17&amp;" m/s, "&amp;'04 Lifts'!$E$5:$E$17,$A86))*'04 Lifts'!$H$5:$H$17))</f>
        <v>0</v>
      </c>
      <c r="E86" s="36">
        <f t="shared" si="4"/>
        <v>0</v>
      </c>
      <c r="F86" s="34">
        <f>IF($A86="",0,SUMPRODUCT((EXACT('04 Lifts'!$B$5:$B$17&amp;" "&amp;'04 Lifts'!$C$5:$C$17&amp;"-person, "&amp;'04 Lifts'!$D$5:$D$17&amp;" m/s, "&amp;'04 Lifts'!$E$5:$E$17,$A86))*'04 Lifts'!$F$5:$F$17)*100000)</f>
        <v>0</v>
      </c>
      <c r="G86" s="34">
        <f>IF($A86="",0,SUMPRODUCT((EXACT('04 Lifts'!$B$5:$B$17&amp;" "&amp;'04 Lifts'!$C$5:$C$17&amp;"-person, "&amp;'04 Lifts'!$D$5:$D$17&amp;" m/s, "&amp;'04 Lifts'!$E$5:$E$17,$A86))*'04 Lifts'!$G$5:$G$17))</f>
        <v>0</v>
      </c>
      <c r="H86" s="34">
        <f t="shared" si="5"/>
        <v>0</v>
      </c>
    </row>
    <row r="87" spans="1:8" x14ac:dyDescent="0.3">
      <c r="A87" s="29"/>
      <c r="B87" s="51">
        <v>0</v>
      </c>
      <c r="C87" s="51">
        <v>0</v>
      </c>
      <c r="D87" s="36">
        <f>IF($A87="",0,SUMPRODUCT((EXACT('04 Lifts'!$B$5:$B$17&amp;" "&amp;'04 Lifts'!$C$5:$C$17&amp;"-person, "&amp;'04 Lifts'!$D$5:$D$17&amp;" m/s, "&amp;'04 Lifts'!$E$5:$E$17,$A87))*'04 Lifts'!$H$5:$H$17))</f>
        <v>0</v>
      </c>
      <c r="E87" s="36">
        <f t="shared" si="4"/>
        <v>0</v>
      </c>
      <c r="F87" s="34">
        <f>IF($A87="",0,SUMPRODUCT((EXACT('04 Lifts'!$B$5:$B$17&amp;" "&amp;'04 Lifts'!$C$5:$C$17&amp;"-person, "&amp;'04 Lifts'!$D$5:$D$17&amp;" m/s, "&amp;'04 Lifts'!$E$5:$E$17,$A87))*'04 Lifts'!$F$5:$F$17)*100000)</f>
        <v>0</v>
      </c>
      <c r="G87" s="34">
        <f>IF($A87="",0,SUMPRODUCT((EXACT('04 Lifts'!$B$5:$B$17&amp;" "&amp;'04 Lifts'!$C$5:$C$17&amp;"-person, "&amp;'04 Lifts'!$D$5:$D$17&amp;" m/s, "&amp;'04 Lifts'!$E$5:$E$17,$A87))*'04 Lifts'!$G$5:$G$17))</f>
        <v>0</v>
      </c>
      <c r="H87" s="34">
        <f t="shared" si="5"/>
        <v>0</v>
      </c>
    </row>
    <row r="88" spans="1:8" x14ac:dyDescent="0.3">
      <c r="A88" s="38" t="s">
        <v>122</v>
      </c>
      <c r="B88" s="39"/>
      <c r="C88" s="39"/>
      <c r="D88" s="39"/>
      <c r="E88" s="39"/>
      <c r="F88" s="39"/>
      <c r="G88" s="39"/>
      <c r="H88" s="40">
        <f>SUM(H82:H87)</f>
        <v>0</v>
      </c>
    </row>
    <row r="90" spans="1:8" ht="18" customHeight="1" x14ac:dyDescent="0.3">
      <c r="A90" s="27" t="s">
        <v>123</v>
      </c>
      <c r="B90" s="27"/>
      <c r="C90" s="27"/>
      <c r="D90" s="27"/>
      <c r="E90" s="27"/>
      <c r="F90" s="27"/>
      <c r="G90" s="27"/>
    </row>
    <row r="91" spans="1:8" x14ac:dyDescent="0.3">
      <c r="A91" s="28" t="s">
        <v>2</v>
      </c>
      <c r="B91" s="28" t="s">
        <v>124</v>
      </c>
      <c r="C91" s="28" t="s">
        <v>125</v>
      </c>
      <c r="D91" s="28" t="s">
        <v>61</v>
      </c>
      <c r="E91" s="28" t="s">
        <v>126</v>
      </c>
      <c r="F91" s="28" t="s">
        <v>45</v>
      </c>
    </row>
    <row r="92" spans="1:8" x14ac:dyDescent="0.3">
      <c r="A92" s="53" t="s">
        <v>127</v>
      </c>
      <c r="B92" s="29" t="s">
        <v>88</v>
      </c>
      <c r="C92" s="42">
        <v>0</v>
      </c>
      <c r="E92" s="34">
        <f>IF($B92="None",0,SUMPRODUCT((EXACT('05 RCC Water Tank'!$B$5:$B$8,$B92))*'05 RCC Water Tank'!$D$5:$D$8))</f>
        <v>0</v>
      </c>
      <c r="F92" s="34">
        <f>E92*C92</f>
        <v>0</v>
      </c>
    </row>
    <row r="93" spans="1:8" x14ac:dyDescent="0.3">
      <c r="A93" s="53" t="s">
        <v>128</v>
      </c>
      <c r="B93" s="29" t="s">
        <v>69</v>
      </c>
      <c r="C93" s="42">
        <v>0</v>
      </c>
      <c r="E93" s="34">
        <f>'05 RCC Water Tank'!$D$9</f>
        <v>24</v>
      </c>
      <c r="F93" s="34">
        <f>IF($B93="Yes",E93*C93,0)</f>
        <v>0</v>
      </c>
    </row>
    <row r="94" spans="1:8" x14ac:dyDescent="0.3">
      <c r="A94" s="38" t="s">
        <v>129</v>
      </c>
      <c r="B94" s="39"/>
      <c r="C94" s="39"/>
      <c r="D94" s="39"/>
      <c r="E94" s="39"/>
      <c r="F94" s="40">
        <f>$F$92+$F$93</f>
        <v>0</v>
      </c>
      <c r="G94" s="39"/>
    </row>
    <row r="96" spans="1:8" ht="18" customHeight="1" x14ac:dyDescent="0.3">
      <c r="A96" s="27" t="s">
        <v>130</v>
      </c>
      <c r="B96" s="27"/>
      <c r="C96" s="27"/>
      <c r="D96" s="27"/>
      <c r="E96" s="27"/>
      <c r="F96" s="27"/>
    </row>
    <row r="97" spans="1:6" ht="42" customHeight="1" x14ac:dyDescent="0.3">
      <c r="A97" s="63" t="s">
        <v>131</v>
      </c>
      <c r="B97" s="62"/>
      <c r="C97" s="62"/>
      <c r="D97" s="62"/>
      <c r="E97" s="62"/>
      <c r="F97" s="62"/>
    </row>
    <row r="98" spans="1:6" x14ac:dyDescent="0.3">
      <c r="A98" s="53" t="s">
        <v>132</v>
      </c>
      <c r="B98" s="29" t="s">
        <v>133</v>
      </c>
    </row>
    <row r="99" spans="1:6" ht="49.8" customHeight="1" x14ac:dyDescent="0.3">
      <c r="A99" s="57" t="s">
        <v>134</v>
      </c>
      <c r="B99" s="29" t="s">
        <v>135</v>
      </c>
      <c r="D99" s="41" t="str">
        <f>'08 Notes'!B8&amp;" | "&amp;'08 Notes'!B9&amp;" | "&amp;'08 Notes'!B10</f>
        <v>If development component area/length under items 6.1 to 6.7 cannot be computed: Compact site — 4.5% of building cost. Description: single huge-area building with few ancillary buildings or few high-rise blocks (higher than 12 storeys) in close cluster. | Semi compact/semi scattered site — 6.0% of building cost. Description: few midrise blocks (6 to 12 storeys) in a gated compound. | Large site — 7.5% of building cost. Description: various scattered low-rise buildings (upto 4 storeys), with exception of a block or two upto 6 storeys.</v>
      </c>
    </row>
    <row r="100" spans="1:6" x14ac:dyDescent="0.3">
      <c r="A100" s="57" t="s">
        <v>136</v>
      </c>
      <c r="F100" s="34">
        <f>IF($B$99="Compact",0.045,IF($B$99="Semi compact / semi scattered",0.06,IF($B$99="Large",0.075,0)))*$F$57</f>
        <v>0</v>
      </c>
    </row>
    <row r="102" spans="1:6" x14ac:dyDescent="0.3">
      <c r="A102" s="57" t="s">
        <v>137</v>
      </c>
    </row>
    <row r="103" spans="1:6" x14ac:dyDescent="0.3">
      <c r="A103" s="28" t="s">
        <v>2</v>
      </c>
      <c r="B103" s="28" t="s">
        <v>138</v>
      </c>
      <c r="C103" s="28" t="s">
        <v>4</v>
      </c>
      <c r="D103" s="28" t="s">
        <v>61</v>
      </c>
      <c r="E103" s="28" t="s">
        <v>139</v>
      </c>
      <c r="F103" s="28" t="s">
        <v>45</v>
      </c>
    </row>
    <row r="104" spans="1:6" x14ac:dyDescent="0.3">
      <c r="A104" s="53" t="s">
        <v>140</v>
      </c>
      <c r="B104" s="42">
        <v>0</v>
      </c>
      <c r="C104" s="57" t="s">
        <v>20</v>
      </c>
      <c r="D104" s="33" t="str">
        <f>'06 Development of Site'!B5</f>
        <v>Levelling</v>
      </c>
      <c r="E104" s="34">
        <f>'06 Development of Site'!D5</f>
        <v>160</v>
      </c>
      <c r="F104" s="34">
        <f>B104*E104</f>
        <v>0</v>
      </c>
    </row>
    <row r="105" spans="1:6" x14ac:dyDescent="0.3">
      <c r="A105" s="53" t="s">
        <v>141</v>
      </c>
      <c r="B105" s="29" t="s">
        <v>142</v>
      </c>
      <c r="C105" s="57" t="s">
        <v>143</v>
      </c>
    </row>
    <row r="106" spans="1:6" x14ac:dyDescent="0.3">
      <c r="A106" s="57" t="s">
        <v>144</v>
      </c>
      <c r="B106" s="42">
        <v>0</v>
      </c>
      <c r="C106" s="57" t="s">
        <v>20</v>
      </c>
      <c r="E106" s="34">
        <f>IF($B$105="Internal road WBM+bituminous",'06 Development of Site'!$D$6,IF($B$105="Internal road WMM+bituminous",'06 Development of Site'!$D$7,IF($B$105="CC pavement (vacuum dewatered)",'06 Development of Site'!$D$8,IF($B$105="Footpath (PCC+paver+kerb)",'06 Development of Site'!$D$9,0))))</f>
        <v>1940</v>
      </c>
      <c r="F106" s="34">
        <f>B106*E106</f>
        <v>0</v>
      </c>
    </row>
    <row r="107" spans="1:6" x14ac:dyDescent="0.3">
      <c r="A107" s="53" t="s">
        <v>145</v>
      </c>
      <c r="B107" s="42">
        <v>0</v>
      </c>
      <c r="C107" s="57" t="s">
        <v>13</v>
      </c>
      <c r="D107" s="33" t="str">
        <f>'06 Development of Site'!B10</f>
        <v>External sewerage</v>
      </c>
      <c r="E107" s="34">
        <f>'06 Development of Site'!D10</f>
        <v>4180</v>
      </c>
      <c r="F107" s="34">
        <f>B107*E107</f>
        <v>0</v>
      </c>
    </row>
    <row r="108" spans="1:6" x14ac:dyDescent="0.3">
      <c r="A108" s="53" t="s">
        <v>146</v>
      </c>
      <c r="B108" s="29" t="s">
        <v>147</v>
      </c>
    </row>
    <row r="109" spans="1:6" x14ac:dyDescent="0.3">
      <c r="A109" s="57" t="s">
        <v>148</v>
      </c>
      <c r="B109" s="42">
        <v>0</v>
      </c>
      <c r="C109" s="57" t="s">
        <v>13</v>
      </c>
      <c r="E109" s="34">
        <f>IF($B$108="Filtered - distribution upto 100mm",'06 Development of Site'!$D$11,IF($B$108="Filtered - peripheral grid 150-300mm",'06 Development of Site'!$D$12,IF($B$108="Unfiltered distribution",'06 Development of Site'!$D$13,0)))</f>
        <v>2170</v>
      </c>
      <c r="F109" s="34">
        <f>B109*E109</f>
        <v>0</v>
      </c>
    </row>
    <row r="110" spans="1:6" x14ac:dyDescent="0.3">
      <c r="A110" s="53" t="s">
        <v>149</v>
      </c>
      <c r="B110" s="42">
        <v>0</v>
      </c>
      <c r="C110" s="57" t="s">
        <v>13</v>
      </c>
      <c r="D110" s="33" t="str">
        <f>'06 Development of Site'!B14</f>
        <v>Storm water drains</v>
      </c>
      <c r="E110" s="34">
        <f>'06 Development of Site'!D14</f>
        <v>10810</v>
      </c>
      <c r="F110" s="34">
        <f>B110*E110</f>
        <v>0</v>
      </c>
    </row>
    <row r="111" spans="1:6" x14ac:dyDescent="0.3">
      <c r="A111" s="53" t="s">
        <v>150</v>
      </c>
      <c r="B111" s="42">
        <v>0</v>
      </c>
      <c r="C111" s="57" t="s">
        <v>13</v>
      </c>
      <c r="D111" s="33" t="str">
        <f>'06 Development of Site'!B15</f>
        <v>Rain water harvesting (RWH) — excluding collection tank</v>
      </c>
      <c r="E111" s="34">
        <f>'06 Development of Site'!D15</f>
        <v>2330</v>
      </c>
      <c r="F111" s="34">
        <f>B111*E111</f>
        <v>0</v>
      </c>
    </row>
    <row r="112" spans="1:6" x14ac:dyDescent="0.3">
      <c r="A112" s="53" t="s">
        <v>151</v>
      </c>
      <c r="B112" s="42">
        <v>0</v>
      </c>
      <c r="C112" s="57" t="s">
        <v>13</v>
      </c>
      <c r="D112" s="33" t="str">
        <f>'06 Development of Site'!B16</f>
        <v>Trenches for services</v>
      </c>
      <c r="E112" s="34">
        <f>'06 Development of Site'!D16</f>
        <v>7460</v>
      </c>
      <c r="F112" s="34">
        <f>B112*E112</f>
        <v>0</v>
      </c>
    </row>
    <row r="113" spans="1:7" x14ac:dyDescent="0.3">
      <c r="A113" s="53" t="s">
        <v>152</v>
      </c>
      <c r="B113" s="29" t="s">
        <v>153</v>
      </c>
    </row>
    <row r="114" spans="1:7" x14ac:dyDescent="0.3">
      <c r="A114" s="57" t="s">
        <v>154</v>
      </c>
      <c r="B114" s="42">
        <v>0</v>
      </c>
      <c r="C114" s="57" t="s">
        <v>13</v>
      </c>
      <c r="E114" s="34">
        <f>IF($B$113="Brickwork+RCC columns",'06 Development of Site'!$D$17,'06 Development of Site'!$D$18)</f>
        <v>13210</v>
      </c>
      <c r="F114" s="34">
        <f>B114*E114</f>
        <v>0</v>
      </c>
    </row>
    <row r="115" spans="1:7" x14ac:dyDescent="0.3">
      <c r="A115" s="53" t="s">
        <v>155</v>
      </c>
      <c r="B115" s="42">
        <v>0</v>
      </c>
      <c r="C115" s="57" t="s">
        <v>20</v>
      </c>
      <c r="D115" s="33" t="str">
        <f>'06 Development of Site'!B19</f>
        <v>Horticulture operations including 300 mm earth filling, grassing, tree plantations/shrubs and potted plants etc.</v>
      </c>
      <c r="E115" s="34">
        <f>'06 Development of Site'!D19</f>
        <v>578</v>
      </c>
      <c r="F115" s="34">
        <f>B115*E115</f>
        <v>0</v>
      </c>
    </row>
    <row r="116" spans="1:7" x14ac:dyDescent="0.3">
      <c r="A116" s="53" t="s">
        <v>156</v>
      </c>
      <c r="B116" s="42">
        <v>0</v>
      </c>
      <c r="C116" s="57" t="s">
        <v>20</v>
      </c>
      <c r="D116" s="33" t="str">
        <f>'06 Development of Site'!B20</f>
        <v>Vertical plantations — excluding frame work; rate applicable on vertical gardening area</v>
      </c>
      <c r="E116" s="34">
        <f>'06 Development of Site'!D20</f>
        <v>6683</v>
      </c>
      <c r="F116" s="34">
        <f>B116*E116</f>
        <v>0</v>
      </c>
    </row>
    <row r="117" spans="1:7" x14ac:dyDescent="0.3">
      <c r="A117" s="57" t="s">
        <v>157</v>
      </c>
      <c r="F117" s="34">
        <f>$F$104+$F$106+$F$107+$F$109+$F$110+$F$111+$F$112+$F$114+$F$115+$F$116</f>
        <v>0</v>
      </c>
    </row>
    <row r="119" spans="1:7" x14ac:dyDescent="0.3">
      <c r="A119" s="38" t="s">
        <v>158</v>
      </c>
      <c r="B119" s="39"/>
      <c r="C119" s="39"/>
      <c r="D119" s="39"/>
      <c r="E119" s="39"/>
      <c r="F119" s="40">
        <f>IF($B$98="Detailed measurement",$F$117,$F$100)</f>
        <v>0</v>
      </c>
    </row>
    <row r="120" spans="1:7" ht="28.05" customHeight="1" x14ac:dyDescent="0.3">
      <c r="A120" s="63" t="s">
        <v>159</v>
      </c>
      <c r="B120" s="62"/>
      <c r="C120" s="62"/>
      <c r="D120" s="62"/>
      <c r="E120" s="62"/>
      <c r="F120" s="62"/>
    </row>
    <row r="121" spans="1:7" ht="18" customHeight="1" x14ac:dyDescent="0.3">
      <c r="A121" s="27" t="s">
        <v>160</v>
      </c>
      <c r="B121" s="27"/>
      <c r="C121" s="27"/>
      <c r="D121" s="27"/>
      <c r="E121" s="27"/>
      <c r="F121" s="27"/>
      <c r="G121" s="27"/>
    </row>
    <row r="122" spans="1:7" x14ac:dyDescent="0.3">
      <c r="A122" s="28" t="s">
        <v>58</v>
      </c>
      <c r="B122" s="28" t="s">
        <v>108</v>
      </c>
      <c r="C122" s="28" t="s">
        <v>161</v>
      </c>
      <c r="D122" s="28" t="s">
        <v>4</v>
      </c>
      <c r="E122" s="28" t="s">
        <v>61</v>
      </c>
      <c r="F122" s="28" t="s">
        <v>139</v>
      </c>
      <c r="G122" s="28" t="s">
        <v>45</v>
      </c>
    </row>
    <row r="123" spans="1:7" x14ac:dyDescent="0.3">
      <c r="A123" s="53" t="s">
        <v>162</v>
      </c>
      <c r="B123" s="29" t="s">
        <v>69</v>
      </c>
      <c r="C123" s="32">
        <v>0</v>
      </c>
      <c r="D123" s="57" t="s">
        <v>163</v>
      </c>
      <c r="E123" s="33" t="str">
        <f>'07 Specialized E&amp;M'!B5</f>
        <v>33 kV receiving substation and 33 kV/11 kV HT cabling — complete specified system</v>
      </c>
      <c r="F123" s="34">
        <f>'07 Specialized E&amp;M'!D5</f>
        <v>3800</v>
      </c>
      <c r="G123" s="34">
        <f t="shared" ref="G123:G128" si="6">IF($B123="Yes",F123*C123,0)</f>
        <v>0</v>
      </c>
    </row>
    <row r="124" spans="1:7" x14ac:dyDescent="0.3">
      <c r="A124" s="53" t="s">
        <v>164</v>
      </c>
      <c r="B124" s="29" t="s">
        <v>69</v>
      </c>
      <c r="C124" s="32">
        <v>0</v>
      </c>
      <c r="D124" s="57" t="s">
        <v>163</v>
      </c>
      <c r="E124" s="33" t="str">
        <f>'07 Specialized E&amp;M'!B6</f>
        <v>33 KV/0.433 KV substation equipment — complete specified system</v>
      </c>
      <c r="F124" s="34">
        <f>'07 Specialized E&amp;M'!D6</f>
        <v>9000</v>
      </c>
      <c r="G124" s="34">
        <f t="shared" si="6"/>
        <v>0</v>
      </c>
    </row>
    <row r="125" spans="1:7" x14ac:dyDescent="0.3">
      <c r="A125" s="53" t="s">
        <v>165</v>
      </c>
      <c r="B125" s="29" t="s">
        <v>69</v>
      </c>
      <c r="C125" s="32">
        <v>0</v>
      </c>
      <c r="D125" s="57" t="s">
        <v>163</v>
      </c>
      <c r="E125" s="33" t="str">
        <f>'07 Specialized E&amp;M'!B7</f>
        <v>11 KV/0.433 KV substation equipment — complete specified system</v>
      </c>
      <c r="F125" s="34">
        <f>'07 Specialized E&amp;M'!D7</f>
        <v>8100</v>
      </c>
      <c r="G125" s="34">
        <f t="shared" si="6"/>
        <v>0</v>
      </c>
    </row>
    <row r="126" spans="1:7" x14ac:dyDescent="0.3">
      <c r="A126" s="53" t="s">
        <v>166</v>
      </c>
      <c r="B126" s="29" t="s">
        <v>69</v>
      </c>
      <c r="C126" s="32">
        <v>0</v>
      </c>
      <c r="D126" s="57" t="s">
        <v>163</v>
      </c>
      <c r="E126" s="33" t="str">
        <f>'07 Specialized E&amp;M'!B8</f>
        <v>Silent type DG sets, AMF panel, bus ducting/cables, synchronizing panel where required, enclosure works, earthing, fuel/exhaust systems and connected civil works</v>
      </c>
      <c r="F126" s="34">
        <f>'07 Specialized E&amp;M'!D8</f>
        <v>11560</v>
      </c>
      <c r="G126" s="34">
        <f t="shared" si="6"/>
        <v>0</v>
      </c>
    </row>
    <row r="127" spans="1:7" x14ac:dyDescent="0.3">
      <c r="A127" s="53" t="s">
        <v>167</v>
      </c>
      <c r="B127" s="29" t="s">
        <v>69</v>
      </c>
      <c r="C127" s="52">
        <f>$C$126</f>
        <v>0</v>
      </c>
      <c r="D127" s="57" t="s">
        <v>163</v>
      </c>
      <c r="E127" s="33" t="str">
        <f>'07 Specialized E&amp;M'!B9</f>
        <v>Extra for synchronizing panels wherever required</v>
      </c>
      <c r="F127" s="34">
        <f>'07 Specialized E&amp;M'!D9</f>
        <v>1070</v>
      </c>
      <c r="G127" s="34">
        <f t="shared" si="6"/>
        <v>0</v>
      </c>
    </row>
    <row r="128" spans="1:7" x14ac:dyDescent="0.3">
      <c r="A128" s="53" t="s">
        <v>168</v>
      </c>
      <c r="B128" s="29" t="s">
        <v>69</v>
      </c>
      <c r="C128" s="32">
        <v>0</v>
      </c>
      <c r="D128" s="57" t="s">
        <v>163</v>
      </c>
      <c r="E128" s="33" t="str">
        <f>'07 Specialized E&amp;M'!B10</f>
        <v>Online 3 phase UPS system with 30 minutes backup including batteries, cables, racks etc.</v>
      </c>
      <c r="F128" s="34">
        <f>'07 Specialized E&amp;M'!D10</f>
        <v>21290</v>
      </c>
      <c r="G128" s="34">
        <f t="shared" si="6"/>
        <v>0</v>
      </c>
    </row>
    <row r="129" spans="1:7" x14ac:dyDescent="0.3">
      <c r="A129" s="53" t="s">
        <v>169</v>
      </c>
      <c r="B129" s="29" t="s">
        <v>69</v>
      </c>
      <c r="C129" s="52">
        <f>1</f>
        <v>1</v>
      </c>
      <c r="D129" s="57" t="s">
        <v>170</v>
      </c>
      <c r="E129" s="33" t="str">
        <f>'07 Specialized E&amp;M'!B11</f>
        <v>Add for every additional 30 minutes backup</v>
      </c>
      <c r="F129" s="34">
        <f>'07 Specialized E&amp;M'!D11</f>
        <v>9580</v>
      </c>
      <c r="G129" s="34">
        <f>IF($B$129="Yes",F129*C129*$C$128,0)</f>
        <v>0</v>
      </c>
    </row>
    <row r="130" spans="1:7" x14ac:dyDescent="0.3">
      <c r="A130" s="53" t="s">
        <v>171</v>
      </c>
      <c r="B130" s="29" t="s">
        <v>69</v>
      </c>
      <c r="C130" s="32">
        <v>0</v>
      </c>
      <c r="D130" s="57" t="s">
        <v>172</v>
      </c>
      <c r="E130" s="33" t="str">
        <f>'07 Specialized E&amp;M'!B12</f>
        <v>Energy efficient central AC plant including low side works</v>
      </c>
      <c r="F130" s="34">
        <f>'07 Specialized E&amp;M'!D12</f>
        <v>90380</v>
      </c>
      <c r="G130" s="34">
        <f>IF($B130="Yes",F130*C130,0)</f>
        <v>0</v>
      </c>
    </row>
    <row r="131" spans="1:7" x14ac:dyDescent="0.3">
      <c r="A131" s="53" t="s">
        <v>173</v>
      </c>
      <c r="B131" s="29" t="s">
        <v>69</v>
      </c>
      <c r="C131" s="52">
        <f>$C$130</f>
        <v>0</v>
      </c>
      <c r="D131" s="57" t="s">
        <v>172</v>
      </c>
      <c r="E131" s="33" t="str">
        <f>'07 Specialized E&amp;M'!B13</f>
        <v>Extra for stand-by chilling units high side</v>
      </c>
      <c r="F131" s="34">
        <f>'07 Specialized E&amp;M'!D13</f>
        <v>40860</v>
      </c>
      <c r="G131" s="34">
        <f>IF($B131="Yes",F131*C131,0)</f>
        <v>0</v>
      </c>
    </row>
    <row r="132" spans="1:7" x14ac:dyDescent="0.3">
      <c r="A132" s="53" t="s">
        <v>174</v>
      </c>
      <c r="B132" s="29" t="s">
        <v>69</v>
      </c>
      <c r="C132" s="32">
        <v>0</v>
      </c>
      <c r="D132" s="57" t="s">
        <v>175</v>
      </c>
      <c r="E132" s="33" t="str">
        <f>'07 Specialized E&amp;M'!B14</f>
        <v>VRV/VRF system including indoor/outdoor units, piping, electrical power distribution/wiring, electrical panel, treated fresh air system etc.</v>
      </c>
      <c r="F132" s="34">
        <f>'07 Specialized E&amp;M'!D14</f>
        <v>58480</v>
      </c>
      <c r="G132" s="34">
        <f>IF($B132="Yes",F132*C132,0)</f>
        <v>0</v>
      </c>
    </row>
    <row r="133" spans="1:7" x14ac:dyDescent="0.3">
      <c r="A133" s="53" t="s">
        <v>176</v>
      </c>
      <c r="B133" s="29" t="s">
        <v>69</v>
      </c>
      <c r="C133" s="32">
        <v>0</v>
      </c>
      <c r="D133" s="57" t="s">
        <v>172</v>
      </c>
      <c r="E133" s="33" t="str">
        <f>'07 Specialized E&amp;M'!B15</f>
        <v>Precision air conditioning system including piping, electrical cabling, controller etc.</v>
      </c>
      <c r="F133" s="34">
        <f>'07 Specialized E&amp;M'!D15</f>
        <v>110000</v>
      </c>
      <c r="G133" s="34">
        <f>IF($B133="Yes",F133*C133,0)</f>
        <v>0</v>
      </c>
    </row>
    <row r="134" spans="1:7" x14ac:dyDescent="0.3">
      <c r="A134" s="53" t="s">
        <v>177</v>
      </c>
      <c r="B134" s="29" t="s">
        <v>69</v>
      </c>
      <c r="C134" s="32">
        <v>0</v>
      </c>
      <c r="D134" s="57" t="s">
        <v>178</v>
      </c>
      <c r="E134" s="33" t="str">
        <f>'07 Specialized E&amp;M'!B16</f>
        <v>Grid interactive roof top solar photovoltaic power generation system including space frame</v>
      </c>
      <c r="F134" s="34">
        <f>'07 Specialized E&amp;M'!D16</f>
        <v>58480</v>
      </c>
      <c r="G134" s="34">
        <f>IF($B134="Yes",F134*C134,0)</f>
        <v>0</v>
      </c>
    </row>
    <row r="135" spans="1:7" x14ac:dyDescent="0.3">
      <c r="A135" s="53" t="s">
        <v>179</v>
      </c>
      <c r="B135" s="29" t="s">
        <v>69</v>
      </c>
      <c r="C135" s="42">
        <v>0</v>
      </c>
      <c r="D135" s="57" t="s">
        <v>180</v>
      </c>
      <c r="E135" s="33" t="str">
        <f>'07 Specialized E&amp;M'!B17</f>
        <v>Solar water heating system with heat exchanger, electrical heater backup, make-up water tank; without piping</v>
      </c>
      <c r="F135" s="34">
        <f>'07 Specialized E&amp;M'!D17</f>
        <v>23920</v>
      </c>
      <c r="G135" s="34">
        <f>IF($B135="Yes",F135*C135/100,0)</f>
        <v>0</v>
      </c>
    </row>
    <row r="136" spans="1:7" x14ac:dyDescent="0.3">
      <c r="A136" s="53" t="s">
        <v>181</v>
      </c>
      <c r="B136" s="29" t="s">
        <v>69</v>
      </c>
      <c r="C136" s="52">
        <f>$B$12</f>
        <v>0</v>
      </c>
      <c r="D136" s="57" t="s">
        <v>20</v>
      </c>
      <c r="E136" s="33" t="str">
        <f>'07 Specialized E&amp;M'!B18</f>
        <v>IP-based CCTV for building security, indoors only; rate applicable on total plinth area</v>
      </c>
      <c r="F136" s="34">
        <f>'07 Specialized E&amp;M'!D18</f>
        <v>210</v>
      </c>
      <c r="G136" s="34">
        <f>IF($B136="Yes",F136*C136,0)</f>
        <v>0</v>
      </c>
    </row>
    <row r="137" spans="1:7" x14ac:dyDescent="0.3">
      <c r="A137" s="53" t="s">
        <v>182</v>
      </c>
      <c r="B137" s="29" t="s">
        <v>69</v>
      </c>
      <c r="C137" s="52">
        <f>MAX(0,$B$13-$B$11)</f>
        <v>0</v>
      </c>
      <c r="D137" s="57" t="s">
        <v>20</v>
      </c>
      <c r="E137" s="33" t="str">
        <f>'07 Specialized E&amp;M'!B19</f>
        <v>External surveillance; rate applicable on total plot area minus plinth area at ground floor</v>
      </c>
      <c r="F137" s="34">
        <f>'07 Specialized E&amp;M'!D19</f>
        <v>210</v>
      </c>
      <c r="G137" s="34">
        <f>IF($B137="Yes",F137*C137,0)</f>
        <v>0</v>
      </c>
    </row>
    <row r="138" spans="1:7" x14ac:dyDescent="0.3">
      <c r="A138" s="53" t="s">
        <v>183</v>
      </c>
      <c r="B138" s="29" t="s">
        <v>69</v>
      </c>
      <c r="C138" s="32">
        <v>0</v>
      </c>
      <c r="D138" s="57" t="s">
        <v>20</v>
      </c>
      <c r="E138" s="33" t="str">
        <f>'07 Specialized E&amp;M'!B20</f>
        <v>Access control system; rate applicable only on plinth area of high-security area</v>
      </c>
      <c r="F138" s="34">
        <f>'07 Specialized E&amp;M'!D20</f>
        <v>220</v>
      </c>
      <c r="G138" s="34">
        <f>IF($B138="Yes",F138*C138,0)</f>
        <v>0</v>
      </c>
    </row>
    <row r="139" spans="1:7" x14ac:dyDescent="0.3">
      <c r="A139" s="53" t="s">
        <v>184</v>
      </c>
      <c r="B139" s="29" t="s">
        <v>69</v>
      </c>
      <c r="C139" s="52">
        <f>$B$12</f>
        <v>0</v>
      </c>
      <c r="D139" s="57" t="s">
        <v>20</v>
      </c>
      <c r="E139" s="33" t="str">
        <f>'07 Specialized E&amp;M'!B21</f>
        <v>IBMS up to 10,000 sqm; rate applicable on total plinth area</v>
      </c>
      <c r="F139" s="34">
        <f>'07 Specialized E&amp;M'!D21</f>
        <v>430</v>
      </c>
      <c r="G139" s="34">
        <f>IF($B139="Yes",F139*C139,0)</f>
        <v>0</v>
      </c>
    </row>
    <row r="140" spans="1:7" x14ac:dyDescent="0.3">
      <c r="A140" s="53" t="s">
        <v>185</v>
      </c>
      <c r="B140" s="29" t="s">
        <v>69</v>
      </c>
      <c r="C140" s="34">
        <f>$B$12</f>
        <v>0</v>
      </c>
      <c r="D140" s="57" t="s">
        <v>20</v>
      </c>
      <c r="E140" s="33" t="str">
        <f>'07 Specialized E&amp;M'!B22</f>
        <v>IBMS extra for built-up area above 10,000 sqm; rate applicable on total plinth area</v>
      </c>
      <c r="F140" s="34">
        <f>'07 Specialized E&amp;M'!D22</f>
        <v>130</v>
      </c>
      <c r="G140" s="34">
        <f>IF(AND($B140="Yes",$B$12&gt;10000),F140*C140,0)</f>
        <v>0</v>
      </c>
    </row>
    <row r="141" spans="1:7" x14ac:dyDescent="0.3">
      <c r="A141" s="53" t="s">
        <v>186</v>
      </c>
      <c r="B141" s="29" t="s">
        <v>69</v>
      </c>
      <c r="C141" s="32">
        <v>0</v>
      </c>
      <c r="D141" s="57" t="s">
        <v>187</v>
      </c>
      <c r="E141" s="33" t="str">
        <f>'07 Specialized E&amp;M'!B23</f>
        <v>Hydropneumatic water supply system including pumps, pneumatic tank, controls, VFD, pipes, valves, cabling and switchgear</v>
      </c>
      <c r="F141" s="34">
        <f>'07 Specialized E&amp;M'!D23</f>
        <v>1640</v>
      </c>
      <c r="G141" s="34">
        <f>IF($B141="Yes",F141*C141,0)</f>
        <v>0</v>
      </c>
    </row>
    <row r="142" spans="1:7" x14ac:dyDescent="0.3">
      <c r="A142" s="53" t="s">
        <v>188</v>
      </c>
      <c r="B142" s="29" t="s">
        <v>69</v>
      </c>
      <c r="C142" s="32">
        <v>0</v>
      </c>
      <c r="D142" s="57" t="s">
        <v>20</v>
      </c>
      <c r="E142" s="33" t="str">
        <f>'07 Specialized E&amp;M'!B24</f>
        <v>Lighting automation including occupancy sensors; rate applicable on area to be specified by client</v>
      </c>
      <c r="F142" s="34">
        <f>'07 Specialized E&amp;M'!D24</f>
        <v>220</v>
      </c>
      <c r="G142" s="34">
        <f>IF($B142="Yes",F142*C142,0)</f>
        <v>0</v>
      </c>
    </row>
    <row r="143" spans="1:7" x14ac:dyDescent="0.3">
      <c r="A143" s="57" t="s">
        <v>189</v>
      </c>
      <c r="B143" s="42">
        <v>0</v>
      </c>
    </row>
    <row r="144" spans="1:7" x14ac:dyDescent="0.3">
      <c r="A144" s="53" t="s">
        <v>190</v>
      </c>
      <c r="B144" s="29" t="s">
        <v>69</v>
      </c>
      <c r="C144" s="52">
        <f>$B$143</f>
        <v>0</v>
      </c>
      <c r="D144" s="57" t="s">
        <v>20</v>
      </c>
      <c r="E144" s="33" t="str">
        <f>'07 Specialized E&amp;M'!B25</f>
        <v>Basic home security — Intercom system; rate applicable on plinth area excluding service/common areas</v>
      </c>
      <c r="F144" s="34">
        <f>'07 Specialized E&amp;M'!D25</f>
        <v>320</v>
      </c>
      <c r="G144" s="34">
        <f t="shared" ref="G144:G149" si="7">IF($B144="Yes",F144*C144,0)</f>
        <v>0</v>
      </c>
    </row>
    <row r="145" spans="1:7" x14ac:dyDescent="0.3">
      <c r="A145" s="53" t="s">
        <v>191</v>
      </c>
      <c r="B145" s="29" t="s">
        <v>69</v>
      </c>
      <c r="C145" s="52">
        <f>$B$143</f>
        <v>0</v>
      </c>
      <c r="D145" s="57" t="s">
        <v>20</v>
      </c>
      <c r="E145" s="33" t="str">
        <f>'07 Specialized E&amp;M'!B26</f>
        <v>Basic home security — CCTV system; rate applicable on plinth area excluding service/common areas</v>
      </c>
      <c r="F145" s="34">
        <f>'07 Specialized E&amp;M'!D26</f>
        <v>320</v>
      </c>
      <c r="G145" s="34">
        <f t="shared" si="7"/>
        <v>0</v>
      </c>
    </row>
    <row r="146" spans="1:7" x14ac:dyDescent="0.3">
      <c r="A146" s="53" t="s">
        <v>192</v>
      </c>
      <c r="B146" s="29" t="s">
        <v>69</v>
      </c>
      <c r="C146" s="52">
        <f>$B$143</f>
        <v>0</v>
      </c>
      <c r="D146" s="57" t="s">
        <v>20</v>
      </c>
      <c r="E146" s="33" t="str">
        <f>'07 Specialized E&amp;M'!B27</f>
        <v>LAN system including switches, Wi-Fi, controller, racks, CAT 6A, patch panels, OFC etc.; rate applicable on plinth area excluding service/common areas</v>
      </c>
      <c r="F146" s="34">
        <f>'07 Specialized E&amp;M'!D27</f>
        <v>560</v>
      </c>
      <c r="G146" s="34">
        <f t="shared" si="7"/>
        <v>0</v>
      </c>
    </row>
    <row r="147" spans="1:7" x14ac:dyDescent="0.3">
      <c r="A147" s="53" t="s">
        <v>193</v>
      </c>
      <c r="B147" s="29" t="s">
        <v>69</v>
      </c>
      <c r="C147" s="52">
        <f>$B$143</f>
        <v>0</v>
      </c>
      <c r="D147" s="57" t="s">
        <v>20</v>
      </c>
      <c r="E147" s="33" t="str">
        <f>'07 Specialized E&amp;M'!B28</f>
        <v>IP-based EPABX system including switches, server/cloud UC solution, IP/SIP phones, racks, CAT 6A, patch panels, OFC etc.; rate applicable on plinth area excluding service/common areas</v>
      </c>
      <c r="F147" s="34">
        <f>'07 Specialized E&amp;M'!D28</f>
        <v>580</v>
      </c>
      <c r="G147" s="34">
        <f t="shared" si="7"/>
        <v>0</v>
      </c>
    </row>
    <row r="148" spans="1:7" x14ac:dyDescent="0.3">
      <c r="A148" s="53" t="s">
        <v>194</v>
      </c>
      <c r="B148" s="29" t="s">
        <v>69</v>
      </c>
      <c r="C148" s="32">
        <v>0</v>
      </c>
      <c r="D148" s="57" t="s">
        <v>20</v>
      </c>
      <c r="E148" s="33" t="str">
        <f>'07 Specialized E&amp;M'!B29</f>
        <v>Conference hall audio visual/conference system; rate applicable on carpet area of hall only</v>
      </c>
      <c r="F148" s="34">
        <f>'07 Specialized E&amp;M'!D29</f>
        <v>11890</v>
      </c>
      <c r="G148" s="34">
        <f t="shared" si="7"/>
        <v>0</v>
      </c>
    </row>
    <row r="149" spans="1:7" ht="102.6" x14ac:dyDescent="0.3">
      <c r="A149" s="53" t="s">
        <v>195</v>
      </c>
      <c r="B149" s="29" t="s">
        <v>69</v>
      </c>
      <c r="C149" s="34">
        <f>$B$13</f>
        <v>0</v>
      </c>
      <c r="D149" s="57" t="s">
        <v>20</v>
      </c>
      <c r="E149" s="35" t="s">
        <v>196</v>
      </c>
      <c r="F149" s="34">
        <f>'07 Specialized E&amp;M'!D30</f>
        <v>160</v>
      </c>
      <c r="G149" s="34">
        <f t="shared" si="7"/>
        <v>0</v>
      </c>
    </row>
    <row r="150" spans="1:7" x14ac:dyDescent="0.3">
      <c r="A150" s="64" t="str">
        <f>IF(AND($B$149="Yes",$B$13&lt;4046.86),"Note: plot is under 1 acre - per source, work out street-lighting requirement separately rather than using this rate.","")</f>
        <v/>
      </c>
      <c r="B150" s="65"/>
      <c r="C150" s="65"/>
      <c r="D150" s="65"/>
      <c r="E150" s="65"/>
      <c r="F150" s="65"/>
      <c r="G150" s="66"/>
    </row>
    <row r="151" spans="1:7" x14ac:dyDescent="0.3">
      <c r="A151" s="57" t="s">
        <v>197</v>
      </c>
      <c r="B151" s="42">
        <v>0</v>
      </c>
      <c r="C151" s="57" t="s">
        <v>198</v>
      </c>
    </row>
    <row r="152" spans="1:7" x14ac:dyDescent="0.3">
      <c r="A152" s="53" t="s">
        <v>199</v>
      </c>
      <c r="F152" s="34">
        <f>'07 Specialized E&amp;M'!D31</f>
        <v>75000</v>
      </c>
      <c r="G152" s="34">
        <f>MIN($B$151,50)*F152</f>
        <v>0</v>
      </c>
    </row>
    <row r="153" spans="1:7" x14ac:dyDescent="0.3">
      <c r="A153" s="53" t="s">
        <v>200</v>
      </c>
      <c r="F153" s="34">
        <f>'07 Specialized E&amp;M'!D32</f>
        <v>60000</v>
      </c>
      <c r="G153" s="34">
        <f>MAX(0,MIN($B$151,100)-50)*F153</f>
        <v>0</v>
      </c>
    </row>
    <row r="154" spans="1:7" x14ac:dyDescent="0.3">
      <c r="A154" s="53" t="s">
        <v>201</v>
      </c>
      <c r="F154" s="34">
        <f>'07 Specialized E&amp;M'!D33</f>
        <v>50000</v>
      </c>
      <c r="G154" s="34">
        <f>MAX(0,$B$151-100)*F154</f>
        <v>0</v>
      </c>
    </row>
    <row r="155" spans="1:7" x14ac:dyDescent="0.3">
      <c r="A155" s="53" t="s">
        <v>202</v>
      </c>
      <c r="B155" s="29" t="s">
        <v>69</v>
      </c>
      <c r="C155" s="32">
        <v>0</v>
      </c>
      <c r="D155" s="57" t="s">
        <v>203</v>
      </c>
      <c r="E155" s="33" t="str">
        <f>'07 Specialized E&amp;M'!B34</f>
        <v>Driver face and automatic number plate recording/recognition system including high-resolution camera and software</v>
      </c>
      <c r="F155" s="34">
        <f>'07 Specialized E&amp;M'!D34</f>
        <v>770890</v>
      </c>
      <c r="G155" s="34">
        <f t="shared" ref="G155:G164" si="8">IF($B155="Yes",F155*C155,0)</f>
        <v>0</v>
      </c>
    </row>
    <row r="156" spans="1:7" x14ac:dyDescent="0.3">
      <c r="A156" s="53" t="s">
        <v>204</v>
      </c>
      <c r="B156" s="29" t="s">
        <v>69</v>
      </c>
      <c r="C156" s="32">
        <v>0</v>
      </c>
      <c r="D156" s="57" t="s">
        <v>205</v>
      </c>
      <c r="E156" s="33" t="str">
        <f>'07 Specialized E&amp;M'!B35</f>
        <v>Small baggage scanner — specified multi-energy X-ray system</v>
      </c>
      <c r="F156" s="34">
        <f>'07 Specialized E&amp;M'!D35</f>
        <v>2259510</v>
      </c>
      <c r="G156" s="34">
        <f t="shared" si="8"/>
        <v>0</v>
      </c>
    </row>
    <row r="157" spans="1:7" x14ac:dyDescent="0.3">
      <c r="A157" s="53" t="s">
        <v>206</v>
      </c>
      <c r="B157" s="29" t="s">
        <v>69</v>
      </c>
      <c r="C157" s="32">
        <v>0</v>
      </c>
      <c r="D157" s="57" t="s">
        <v>205</v>
      </c>
      <c r="E157" s="33" t="str">
        <f>'07 Specialized E&amp;M'!B36</f>
        <v>Big baggage scanner — specified multi-energy X-ray system</v>
      </c>
      <c r="F157" s="34">
        <f>'07 Specialized E&amp;M'!D36</f>
        <v>3721550</v>
      </c>
      <c r="G157" s="34">
        <f t="shared" si="8"/>
        <v>0</v>
      </c>
    </row>
    <row r="158" spans="1:7" x14ac:dyDescent="0.3">
      <c r="A158" s="53" t="s">
        <v>207</v>
      </c>
      <c r="B158" s="29" t="s">
        <v>69</v>
      </c>
      <c r="C158" s="32">
        <v>0</v>
      </c>
      <c r="D158" s="57" t="s">
        <v>203</v>
      </c>
      <c r="E158" s="33" t="str">
        <f>'07 Specialized E&amp;M'!B37</f>
        <v>20-zone or above door frame metal detector, nominal 760×2050×700 mm, with software</v>
      </c>
      <c r="F158" s="34">
        <f>'07 Specialized E&amp;M'!D37</f>
        <v>372160</v>
      </c>
      <c r="G158" s="34">
        <f t="shared" si="8"/>
        <v>0</v>
      </c>
    </row>
    <row r="159" spans="1:7" x14ac:dyDescent="0.3">
      <c r="A159" s="53" t="s">
        <v>208</v>
      </c>
      <c r="B159" s="29" t="s">
        <v>69</v>
      </c>
      <c r="C159" s="32">
        <v>0</v>
      </c>
      <c r="D159" s="57" t="s">
        <v>209</v>
      </c>
      <c r="E159" s="33" t="str">
        <f>'07 Specialized E&amp;M'!B38</f>
        <v>Modular Operation Theater (MOT) with stainless steel technology; OT size basis 50 sqm</v>
      </c>
      <c r="F159" s="34">
        <f>'07 Specialized E&amp;M'!D38</f>
        <v>7200000</v>
      </c>
      <c r="G159" s="34">
        <f t="shared" si="8"/>
        <v>0</v>
      </c>
    </row>
    <row r="160" spans="1:7" x14ac:dyDescent="0.3">
      <c r="A160" s="53" t="s">
        <v>210</v>
      </c>
      <c r="B160" s="29" t="s">
        <v>69</v>
      </c>
      <c r="C160" s="32">
        <v>0</v>
      </c>
      <c r="D160" s="57" t="s">
        <v>209</v>
      </c>
      <c r="E160" s="33" t="str">
        <f>'07 Specialized E&amp;M'!B39</f>
        <v>Modular Operation Theater (MOT) with SMS technology; OT size basis 50 sqm</v>
      </c>
      <c r="F160" s="34">
        <f>'07 Specialized E&amp;M'!D39</f>
        <v>10500000</v>
      </c>
      <c r="G160" s="34">
        <f t="shared" si="8"/>
        <v>0</v>
      </c>
    </row>
    <row r="161" spans="1:7" x14ac:dyDescent="0.3">
      <c r="A161" s="53" t="s">
        <v>211</v>
      </c>
      <c r="B161" s="29" t="s">
        <v>69</v>
      </c>
      <c r="C161" s="32">
        <v>0</v>
      </c>
      <c r="D161" s="57" t="s">
        <v>212</v>
      </c>
      <c r="E161" s="33" t="str">
        <f>'07 Specialized E&amp;M'!B40</f>
        <v>Electromechanical boom barrier with all accessories upto 6 metre length</v>
      </c>
      <c r="F161" s="34">
        <f>'07 Specialized E&amp;M'!D40</f>
        <v>125000</v>
      </c>
      <c r="G161" s="34">
        <f t="shared" si="8"/>
        <v>0</v>
      </c>
    </row>
    <row r="162" spans="1:7" x14ac:dyDescent="0.3">
      <c r="A162" s="53" t="s">
        <v>213</v>
      </c>
      <c r="B162" s="29" t="s">
        <v>69</v>
      </c>
      <c r="C162" s="32">
        <v>0</v>
      </c>
      <c r="D162" s="57" t="s">
        <v>214</v>
      </c>
      <c r="E162" s="33" t="str">
        <f>'07 Specialized E&amp;M'!B41</f>
        <v>Sensor-based car parking system with controller, display etc.; cost based on minimum car capacity of 250</v>
      </c>
      <c r="F162" s="34">
        <f>'07 Specialized E&amp;M'!D41</f>
        <v>10000</v>
      </c>
      <c r="G162" s="34">
        <f t="shared" si="8"/>
        <v>0</v>
      </c>
    </row>
    <row r="163" spans="1:7" x14ac:dyDescent="0.3">
      <c r="A163" s="53" t="s">
        <v>215</v>
      </c>
      <c r="B163" s="29" t="s">
        <v>69</v>
      </c>
      <c r="C163" s="52">
        <f>$B$12</f>
        <v>0</v>
      </c>
      <c r="D163" s="57" t="s">
        <v>20</v>
      </c>
      <c r="E163" s="33" t="str">
        <f>'07 Specialized E&amp;M'!B42</f>
        <v>Illuminated signages; rate applicable on total plinth area</v>
      </c>
      <c r="F163" s="34">
        <f>'07 Specialized E&amp;M'!D42</f>
        <v>22</v>
      </c>
      <c r="G163" s="34">
        <f t="shared" si="8"/>
        <v>0</v>
      </c>
    </row>
    <row r="164" spans="1:7" x14ac:dyDescent="0.3">
      <c r="A164" s="53" t="s">
        <v>216</v>
      </c>
      <c r="B164" s="29" t="s">
        <v>69</v>
      </c>
      <c r="C164" s="32">
        <v>0</v>
      </c>
      <c r="D164" s="57" t="s">
        <v>217</v>
      </c>
      <c r="E164" s="33" t="str">
        <f>'07 Specialized E&amp;M'!B43</f>
        <v>Motorized steel gates upto 6.00 metre width</v>
      </c>
      <c r="F164" s="34">
        <f>'07 Specialized E&amp;M'!D43</f>
        <v>500000</v>
      </c>
      <c r="G164" s="34">
        <f t="shared" si="8"/>
        <v>0</v>
      </c>
    </row>
    <row r="165" spans="1:7" x14ac:dyDescent="0.3">
      <c r="A165" s="38" t="s">
        <v>218</v>
      </c>
      <c r="B165" s="39"/>
      <c r="C165" s="39"/>
      <c r="D165" s="39"/>
      <c r="E165" s="39"/>
      <c r="F165" s="39"/>
      <c r="G165" s="40">
        <f>$G$123+$G$124+$G$125+$G$126+$G$127+$G$128+$G$129+$G$130+$G$131+$G$132+$G$133+$G$134+$G$135+$G$136+$G$137+$G$138+$G$139+$G$140+$G$141+$G$142+$G$144+$G$145+$G$146+$G$147+$G$148+$G$149+$G$152+$G$153+$G$154+$G$155+$G$156+$G$157+$G$158+$G$159+$G$160+$G$161+$G$162+$G$163+$G$164</f>
        <v>0</v>
      </c>
    </row>
    <row r="167" spans="1:7" ht="18" customHeight="1" x14ac:dyDescent="0.3">
      <c r="A167" s="27" t="s">
        <v>219</v>
      </c>
      <c r="B167" s="27"/>
      <c r="C167" s="27"/>
      <c r="D167" s="27"/>
      <c r="E167" s="27"/>
      <c r="F167" s="27"/>
      <c r="G167" s="27"/>
    </row>
    <row r="168" spans="1:7" x14ac:dyDescent="0.3">
      <c r="A168" s="53" t="s">
        <v>220</v>
      </c>
      <c r="F168" s="34">
        <f>$F$57</f>
        <v>0</v>
      </c>
    </row>
    <row r="169" spans="1:7" x14ac:dyDescent="0.3">
      <c r="A169" s="53" t="s">
        <v>221</v>
      </c>
      <c r="F169" s="34">
        <f>$F$70</f>
        <v>0</v>
      </c>
    </row>
    <row r="170" spans="1:7" x14ac:dyDescent="0.3">
      <c r="A170" s="53" t="s">
        <v>222</v>
      </c>
      <c r="F170" s="34">
        <f>$F$77</f>
        <v>0</v>
      </c>
    </row>
    <row r="171" spans="1:7" x14ac:dyDescent="0.3">
      <c r="A171" s="53" t="s">
        <v>223</v>
      </c>
      <c r="F171" s="34">
        <f>$H$88</f>
        <v>0</v>
      </c>
    </row>
    <row r="172" spans="1:7" x14ac:dyDescent="0.3">
      <c r="A172" s="53" t="s">
        <v>224</v>
      </c>
      <c r="F172" s="34">
        <f>$F$94</f>
        <v>0</v>
      </c>
    </row>
    <row r="173" spans="1:7" x14ac:dyDescent="0.3">
      <c r="A173" s="53" t="s">
        <v>225</v>
      </c>
      <c r="F173" s="34">
        <f>$F$119</f>
        <v>0</v>
      </c>
    </row>
    <row r="174" spans="1:7" x14ac:dyDescent="0.3">
      <c r="A174" s="53" t="s">
        <v>226</v>
      </c>
      <c r="F174" s="34">
        <f>$G$165</f>
        <v>0</v>
      </c>
    </row>
    <row r="175" spans="1:7" x14ac:dyDescent="0.3">
      <c r="A175" s="54" t="s">
        <v>227</v>
      </c>
      <c r="B175" s="39"/>
      <c r="C175" s="39"/>
      <c r="D175" s="39"/>
      <c r="E175" s="39"/>
      <c r="F175" s="55">
        <f>$F$57+$F$70+$F$77+$H$88+$F$94+$F$119+$G$165</f>
        <v>0</v>
      </c>
    </row>
    <row r="176" spans="1:7" ht="64.8" customHeight="1" x14ac:dyDescent="0.3">
      <c r="A176" s="30" t="s">
        <v>228</v>
      </c>
      <c r="B176" s="56">
        <v>0</v>
      </c>
      <c r="C176" s="57" t="s">
        <v>229</v>
      </c>
      <c r="F176" s="34">
        <f>B176*$F$175</f>
        <v>0</v>
      </c>
    </row>
    <row r="178" spans="1:7" ht="22.05" customHeight="1" x14ac:dyDescent="0.3">
      <c r="A178" s="58" t="s">
        <v>230</v>
      </c>
      <c r="B178" s="59"/>
      <c r="C178" s="59"/>
      <c r="D178" s="59"/>
      <c r="E178" s="59"/>
      <c r="F178" s="60">
        <f>$F$175+$F$176</f>
        <v>0</v>
      </c>
      <c r="G178" s="59"/>
    </row>
    <row r="179" spans="1:7" x14ac:dyDescent="0.3">
      <c r="A179" s="57" t="s">
        <v>231</v>
      </c>
      <c r="F179" s="61">
        <f>$F$178/10000000</f>
        <v>0</v>
      </c>
    </row>
    <row r="181" spans="1:7" ht="30" customHeight="1" x14ac:dyDescent="0.3">
      <c r="A181" s="63" t="s">
        <v>232</v>
      </c>
      <c r="B181" s="62"/>
      <c r="C181" s="62"/>
      <c r="D181" s="62"/>
      <c r="E181" s="62"/>
      <c r="F181" s="62"/>
      <c r="G181" s="62"/>
    </row>
  </sheetData>
  <mergeCells count="7">
    <mergeCell ref="A2:F2"/>
    <mergeCell ref="A181:G181"/>
    <mergeCell ref="A150:G150"/>
    <mergeCell ref="A120:F120"/>
    <mergeCell ref="A97:F97"/>
    <mergeCell ref="A80:H80"/>
    <mergeCell ref="A25:F25"/>
  </mergeCells>
  <dataValidations count="57">
    <dataValidation type="list" sqref="B6">
      <formula1>"Offices/Colleges,Hospitals,Schools,Hostels - with attached toilets,Hostels - with common toilets,Quarters"</formula1>
    </dataValidation>
    <dataValidation type="list" sqref="B7">
      <formula1>"RCC Framed,Composite (partially load bearing)"</formula1>
    </dataValidation>
    <dataValidation type="list" sqref="B8">
      <formula1>"3.60,3.00"</formula1>
    </dataValidation>
    <dataValidation type="list" sqref="B44">
      <formula1>"Yes,No"</formula1>
    </dataValidation>
    <dataValidation type="list" sqref="B45">
      <formula1>"Yes,No"</formula1>
    </dataValidation>
    <dataValidation type="list" sqref="B46">
      <formula1>"Yes,No"</formula1>
    </dataValidation>
    <dataValidation type="list" sqref="B48">
      <formula1>"Yes,No"</formula1>
    </dataValidation>
    <dataValidation type="list" sqref="B49">
      <formula1>"Yes,No"</formula1>
    </dataValidation>
    <dataValidation type="list" sqref="B51">
      <formula1>"Yes,No"</formula1>
    </dataValidation>
    <dataValidation type="list" sqref="B52">
      <formula1>"Yes,No"</formula1>
    </dataValidation>
    <dataValidation type="list" sqref="B54">
      <formula1>"None,Downcomer System,Wet riser system,Wet riser and sprinkler system"</formula1>
    </dataValidation>
    <dataValidation type="list" sqref="B55">
      <formula1>"None,Manual fire alarm system,Automatic fire alarm system"</formula1>
    </dataValidation>
    <dataValidation type="list" sqref="B75">
      <formula1>"Yes,No"</formula1>
    </dataValidation>
    <dataValidation type="list" sqref="B76">
      <formula1>"Yes,No"</formula1>
    </dataValidation>
    <dataValidation type="list" sqref="B92">
      <formula1>"None,Overhead tank without independent staging,Overhead tank with staging height upto 20 metre,Overhead tank with staging height above 20 metre upto 30 metre,Overhead tank with staging height above 30 metre upto 40 metre"</formula1>
    </dataValidation>
    <dataValidation type="list" sqref="B93">
      <formula1>"Yes,No"</formula1>
    </dataValidation>
    <dataValidation type="list" sqref="B98">
      <formula1>"Detailed measurement,Flat % (site category)"</formula1>
    </dataValidation>
    <dataValidation type="list" allowBlank="1" sqref="B99">
      <formula1>"Compact,Semi compact / semi scattered,Large"</formula1>
    </dataValidation>
    <dataValidation type="list" allowBlank="1" sqref="B105">
      <formula1>"Internal road WBM+bituminous,Internal road WMM+bituminous,CC pavement (vacuum dewatered),Footpath (PCC+paver+kerb)"</formula1>
    </dataValidation>
    <dataValidation type="list" allowBlank="1" sqref="B108">
      <formula1>"Filtered - distribution upto 100mm,Filtered - peripheral grid 150-300mm,Unfiltered distribution"</formula1>
    </dataValidation>
    <dataValidation type="list" allowBlank="1" sqref="B113">
      <formula1>"Brickwork+RCC columns,Precast RCC panel"</formula1>
    </dataValidation>
    <dataValidation type="list" sqref="B123">
      <formula1>"Yes,No"</formula1>
    </dataValidation>
    <dataValidation type="list" sqref="B124">
      <formula1>"Yes,No"</formula1>
    </dataValidation>
    <dataValidation type="list" sqref="B125">
      <formula1>"Yes,No"</formula1>
    </dataValidation>
    <dataValidation type="list" sqref="B126">
      <formula1>"Yes,No"</formula1>
    </dataValidation>
    <dataValidation type="list" sqref="B127">
      <formula1>"Yes,No"</formula1>
    </dataValidation>
    <dataValidation type="list" sqref="B128">
      <formula1>"Yes,No"</formula1>
    </dataValidation>
    <dataValidation type="list" sqref="B129">
      <formula1>"Yes,No"</formula1>
    </dataValidation>
    <dataValidation type="list" sqref="B130">
      <formula1>"Yes,No"</formula1>
    </dataValidation>
    <dataValidation type="list" sqref="B131">
      <formula1>"Yes,No"</formula1>
    </dataValidation>
    <dataValidation type="list" sqref="B132">
      <formula1>"Yes,No"</formula1>
    </dataValidation>
    <dataValidation type="list" sqref="B133">
      <formula1>"Yes,No"</formula1>
    </dataValidation>
    <dataValidation type="list" sqref="B134">
      <formula1>"Yes,No"</formula1>
    </dataValidation>
    <dataValidation type="list" sqref="B135">
      <formula1>"Yes,No"</formula1>
    </dataValidation>
    <dataValidation type="list" sqref="B136">
      <formula1>"Yes,No"</formula1>
    </dataValidation>
    <dataValidation type="list" sqref="B137">
      <formula1>"Yes,No"</formula1>
    </dataValidation>
    <dataValidation type="list" sqref="B138">
      <formula1>"Yes,No"</formula1>
    </dataValidation>
    <dataValidation type="list" sqref="B139">
      <formula1>"Yes,No"</formula1>
    </dataValidation>
    <dataValidation type="list" sqref="B140">
      <formula1>"Yes,No"</formula1>
    </dataValidation>
    <dataValidation type="list" sqref="B141">
      <formula1>"Yes,No"</formula1>
    </dataValidation>
    <dataValidation type="list" sqref="B142">
      <formula1>"Yes,No"</formula1>
    </dataValidation>
    <dataValidation type="list" sqref="B144">
      <formula1>"Yes,No"</formula1>
    </dataValidation>
    <dataValidation type="list" sqref="B145">
      <formula1>"Yes,No"</formula1>
    </dataValidation>
    <dataValidation type="list" sqref="B146">
      <formula1>"Yes,No"</formula1>
    </dataValidation>
    <dataValidation type="list" sqref="B147">
      <formula1>"Yes,No"</formula1>
    </dataValidation>
    <dataValidation type="list" sqref="B148">
      <formula1>"Yes,No"</formula1>
    </dataValidation>
    <dataValidation type="list" sqref="B149">
      <formula1>"Yes,No"</formula1>
    </dataValidation>
    <dataValidation type="list" sqref="B155">
      <formula1>"Yes,No"</formula1>
    </dataValidation>
    <dataValidation type="list" sqref="B156">
      <formula1>"Yes,No"</formula1>
    </dataValidation>
    <dataValidation type="list" sqref="B157">
      <formula1>"Yes,No"</formula1>
    </dataValidation>
    <dataValidation type="list" sqref="B158">
      <formula1>"Yes,No"</formula1>
    </dataValidation>
    <dataValidation type="list" sqref="B159">
      <formula1>"Yes,No"</formula1>
    </dataValidation>
    <dataValidation type="list" sqref="B160">
      <formula1>"Yes,No"</formula1>
    </dataValidation>
    <dataValidation type="list" sqref="B161">
      <formula1>"Yes,No"</formula1>
    </dataValidation>
    <dataValidation type="list" sqref="B162">
      <formula1>"Yes,No"</formula1>
    </dataValidation>
    <dataValidation type="list" sqref="B163">
      <formula1>"Yes,No"</formula1>
    </dataValidation>
    <dataValidation type="list" sqref="B164">
      <formula1>"Yes,No"</formula1>
    </dataValidation>
  </dataValidations>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1">
        <x14:dataValidation type="list" allowBlank="1">
          <x14:formula1>
            <xm:f>'04 Lifts'!$I$5:$I$17</xm:f>
          </x14:formula1>
          <xm:sqref>A82 A83 A84 A85 A86 A87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GridLines="0" workbookViewId="0">
      <pane ySplit="4" topLeftCell="A32" activePane="bottomLeft" state="frozen"/>
      <selection pane="bottomLeft" activeCell="B54" sqref="B54"/>
    </sheetView>
  </sheetViews>
  <sheetFormatPr defaultRowHeight="14.4" x14ac:dyDescent="0.3"/>
  <cols>
    <col min="1" max="1" width="14" customWidth="1"/>
    <col min="2" max="2" width="44.109375" customWidth="1"/>
    <col min="3" max="3" width="29.44140625" customWidth="1"/>
    <col min="4" max="4" width="24" customWidth="1"/>
    <col min="5" max="5" width="12.21875" customWidth="1"/>
    <col min="6" max="6" width="10.44140625" customWidth="1"/>
  </cols>
  <sheetData>
    <row r="1" spans="1:6" ht="18" customHeight="1" x14ac:dyDescent="0.3">
      <c r="A1" s="5" t="s">
        <v>233</v>
      </c>
    </row>
    <row r="2" spans="1:6" x14ac:dyDescent="0.3">
      <c r="A2" s="6" t="s">
        <v>234</v>
      </c>
    </row>
    <row r="4" spans="1:6" ht="28.8" customHeight="1" x14ac:dyDescent="0.3">
      <c r="A4" s="1" t="s">
        <v>235</v>
      </c>
      <c r="B4" s="1" t="s">
        <v>236</v>
      </c>
      <c r="C4" s="1" t="s">
        <v>237</v>
      </c>
      <c r="D4" s="1" t="s">
        <v>238</v>
      </c>
      <c r="E4" s="1" t="s">
        <v>239</v>
      </c>
      <c r="F4" s="1" t="s">
        <v>139</v>
      </c>
    </row>
    <row r="5" spans="1:6" x14ac:dyDescent="0.3">
      <c r="A5" s="2" t="s">
        <v>240</v>
      </c>
      <c r="B5" s="2" t="s">
        <v>241</v>
      </c>
      <c r="C5" s="2" t="s">
        <v>242</v>
      </c>
      <c r="D5" s="2" t="s">
        <v>7</v>
      </c>
      <c r="E5" s="2" t="s">
        <v>34</v>
      </c>
      <c r="F5" s="3">
        <v>30920</v>
      </c>
    </row>
    <row r="6" spans="1:6" x14ac:dyDescent="0.3">
      <c r="A6" s="2" t="s">
        <v>240</v>
      </c>
      <c r="B6" s="2" t="s">
        <v>241</v>
      </c>
      <c r="C6" s="2" t="s">
        <v>242</v>
      </c>
      <c r="D6" s="2" t="s">
        <v>243</v>
      </c>
      <c r="E6" s="2" t="s">
        <v>34</v>
      </c>
      <c r="F6" s="3">
        <v>31990</v>
      </c>
    </row>
    <row r="7" spans="1:6" x14ac:dyDescent="0.3">
      <c r="A7" s="2" t="s">
        <v>240</v>
      </c>
      <c r="B7" s="2" t="s">
        <v>241</v>
      </c>
      <c r="C7" s="2" t="s">
        <v>242</v>
      </c>
      <c r="D7" s="2" t="s">
        <v>244</v>
      </c>
      <c r="E7" s="2" t="s">
        <v>34</v>
      </c>
      <c r="F7" s="3">
        <v>23530</v>
      </c>
    </row>
    <row r="8" spans="1:6" x14ac:dyDescent="0.3">
      <c r="A8" s="2" t="s">
        <v>240</v>
      </c>
      <c r="B8" s="2" t="s">
        <v>241</v>
      </c>
      <c r="C8" s="2" t="s">
        <v>242</v>
      </c>
      <c r="D8" s="2" t="s">
        <v>245</v>
      </c>
      <c r="E8" s="2" t="s">
        <v>34</v>
      </c>
      <c r="F8" s="2"/>
    </row>
    <row r="9" spans="1:6" x14ac:dyDescent="0.3">
      <c r="A9" s="2" t="s">
        <v>246</v>
      </c>
      <c r="B9" s="2" t="s">
        <v>241</v>
      </c>
      <c r="C9" s="2" t="s">
        <v>247</v>
      </c>
      <c r="D9" s="2" t="s">
        <v>7</v>
      </c>
      <c r="E9" s="2" t="s">
        <v>34</v>
      </c>
      <c r="F9" s="2"/>
    </row>
    <row r="10" spans="1:6" x14ac:dyDescent="0.3">
      <c r="A10" s="2" t="s">
        <v>246</v>
      </c>
      <c r="B10" s="2" t="s">
        <v>241</v>
      </c>
      <c r="C10" s="2" t="s">
        <v>247</v>
      </c>
      <c r="D10" s="2" t="s">
        <v>243</v>
      </c>
      <c r="E10" s="2" t="s">
        <v>34</v>
      </c>
      <c r="F10" s="2"/>
    </row>
    <row r="11" spans="1:6" x14ac:dyDescent="0.3">
      <c r="A11" s="2" t="s">
        <v>246</v>
      </c>
      <c r="B11" s="2" t="s">
        <v>241</v>
      </c>
      <c r="C11" s="2" t="s">
        <v>247</v>
      </c>
      <c r="D11" s="2" t="s">
        <v>244</v>
      </c>
      <c r="E11" s="2" t="s">
        <v>34</v>
      </c>
      <c r="F11" s="2"/>
    </row>
    <row r="12" spans="1:6" x14ac:dyDescent="0.3">
      <c r="A12" s="2" t="s">
        <v>246</v>
      </c>
      <c r="B12" s="2" t="s">
        <v>241</v>
      </c>
      <c r="C12" s="2" t="s">
        <v>247</v>
      </c>
      <c r="D12" s="2" t="s">
        <v>245</v>
      </c>
      <c r="E12" s="2" t="s">
        <v>34</v>
      </c>
      <c r="F12" s="3">
        <v>24410</v>
      </c>
    </row>
    <row r="13" spans="1:6" ht="28.8" customHeight="1" x14ac:dyDescent="0.3">
      <c r="A13" s="2" t="s">
        <v>248</v>
      </c>
      <c r="B13" s="2" t="s">
        <v>249</v>
      </c>
      <c r="C13" s="2" t="s">
        <v>242</v>
      </c>
      <c r="D13" s="2" t="s">
        <v>7</v>
      </c>
      <c r="E13" s="2" t="s">
        <v>34</v>
      </c>
      <c r="F13" s="3">
        <v>26280</v>
      </c>
    </row>
    <row r="14" spans="1:6" ht="28.8" customHeight="1" x14ac:dyDescent="0.3">
      <c r="A14" s="2" t="s">
        <v>248</v>
      </c>
      <c r="B14" s="2" t="s">
        <v>249</v>
      </c>
      <c r="C14" s="2" t="s">
        <v>242</v>
      </c>
      <c r="D14" s="2" t="s">
        <v>243</v>
      </c>
      <c r="E14" s="2" t="s">
        <v>34</v>
      </c>
      <c r="F14" s="3">
        <v>27190</v>
      </c>
    </row>
    <row r="15" spans="1:6" ht="28.8" customHeight="1" x14ac:dyDescent="0.3">
      <c r="A15" s="2" t="s">
        <v>248</v>
      </c>
      <c r="B15" s="2" t="s">
        <v>249</v>
      </c>
      <c r="C15" s="2" t="s">
        <v>242</v>
      </c>
      <c r="D15" s="2" t="s">
        <v>244</v>
      </c>
      <c r="E15" s="2" t="s">
        <v>34</v>
      </c>
      <c r="F15" s="3">
        <v>20000</v>
      </c>
    </row>
    <row r="16" spans="1:6" ht="28.8" customHeight="1" x14ac:dyDescent="0.3">
      <c r="A16" s="2" t="s">
        <v>248</v>
      </c>
      <c r="B16" s="2" t="s">
        <v>249</v>
      </c>
      <c r="C16" s="2" t="s">
        <v>242</v>
      </c>
      <c r="D16" s="2" t="s">
        <v>245</v>
      </c>
      <c r="E16" s="2" t="s">
        <v>34</v>
      </c>
      <c r="F16" s="2"/>
    </row>
    <row r="17" spans="1:6" ht="28.8" customHeight="1" x14ac:dyDescent="0.3">
      <c r="A17" s="2" t="s">
        <v>250</v>
      </c>
      <c r="B17" s="2" t="s">
        <v>249</v>
      </c>
      <c r="C17" s="2" t="s">
        <v>247</v>
      </c>
      <c r="D17" s="2" t="s">
        <v>7</v>
      </c>
      <c r="E17" s="2" t="s">
        <v>34</v>
      </c>
      <c r="F17" s="2"/>
    </row>
    <row r="18" spans="1:6" ht="28.8" customHeight="1" x14ac:dyDescent="0.3">
      <c r="A18" s="2" t="s">
        <v>250</v>
      </c>
      <c r="B18" s="2" t="s">
        <v>249</v>
      </c>
      <c r="C18" s="2" t="s">
        <v>247</v>
      </c>
      <c r="D18" s="2" t="s">
        <v>243</v>
      </c>
      <c r="E18" s="2" t="s">
        <v>34</v>
      </c>
      <c r="F18" s="2"/>
    </row>
    <row r="19" spans="1:6" ht="28.8" customHeight="1" x14ac:dyDescent="0.3">
      <c r="A19" s="2" t="s">
        <v>250</v>
      </c>
      <c r="B19" s="2" t="s">
        <v>249</v>
      </c>
      <c r="C19" s="2" t="s">
        <v>247</v>
      </c>
      <c r="D19" s="2" t="s">
        <v>244</v>
      </c>
      <c r="E19" s="2" t="s">
        <v>34</v>
      </c>
      <c r="F19" s="2"/>
    </row>
    <row r="20" spans="1:6" ht="28.8" customHeight="1" x14ac:dyDescent="0.3">
      <c r="A20" s="2" t="s">
        <v>250</v>
      </c>
      <c r="B20" s="2" t="s">
        <v>249</v>
      </c>
      <c r="C20" s="2" t="s">
        <v>247</v>
      </c>
      <c r="D20" s="2" t="s">
        <v>245</v>
      </c>
      <c r="E20" s="2" t="s">
        <v>34</v>
      </c>
      <c r="F20" s="3">
        <v>20750</v>
      </c>
    </row>
    <row r="21" spans="1:6" ht="28.8" customHeight="1" x14ac:dyDescent="0.3">
      <c r="A21" s="2" t="s">
        <v>251</v>
      </c>
      <c r="B21" s="2" t="s">
        <v>252</v>
      </c>
      <c r="C21" s="2" t="s">
        <v>253</v>
      </c>
      <c r="D21" s="2" t="s">
        <v>254</v>
      </c>
      <c r="E21" s="2" t="s">
        <v>34</v>
      </c>
      <c r="F21" s="3">
        <v>123</v>
      </c>
    </row>
    <row r="22" spans="1:6" ht="57.6" customHeight="1" x14ac:dyDescent="0.3">
      <c r="A22" s="2" t="s">
        <v>255</v>
      </c>
      <c r="B22" s="2" t="s">
        <v>252</v>
      </c>
      <c r="C22" s="2" t="s">
        <v>256</v>
      </c>
      <c r="D22" s="2" t="s">
        <v>257</v>
      </c>
      <c r="E22" s="2" t="s">
        <v>34</v>
      </c>
      <c r="F22" s="3">
        <v>434</v>
      </c>
    </row>
    <row r="23" spans="1:6" ht="57.6" customHeight="1" x14ac:dyDescent="0.3">
      <c r="A23" s="2" t="s">
        <v>258</v>
      </c>
      <c r="B23" s="2" t="s">
        <v>252</v>
      </c>
      <c r="C23" s="2" t="s">
        <v>259</v>
      </c>
      <c r="D23" s="2" t="s">
        <v>257</v>
      </c>
      <c r="E23" s="2" t="s">
        <v>34</v>
      </c>
      <c r="F23" s="3">
        <v>470</v>
      </c>
    </row>
    <row r="24" spans="1:6" ht="57.6" customHeight="1" x14ac:dyDescent="0.3">
      <c r="A24" s="2" t="s">
        <v>260</v>
      </c>
      <c r="B24" s="2" t="s">
        <v>252</v>
      </c>
      <c r="C24" s="2" t="s">
        <v>261</v>
      </c>
      <c r="D24" s="2" t="s">
        <v>257</v>
      </c>
      <c r="E24" s="2" t="s">
        <v>34</v>
      </c>
      <c r="F24" s="3">
        <v>205</v>
      </c>
    </row>
    <row r="25" spans="1:6" ht="43.2" customHeight="1" x14ac:dyDescent="0.3">
      <c r="A25" s="2" t="s">
        <v>262</v>
      </c>
      <c r="B25" s="2" t="s">
        <v>252</v>
      </c>
      <c r="C25" s="2" t="s">
        <v>263</v>
      </c>
      <c r="D25" s="2" t="s">
        <v>264</v>
      </c>
      <c r="E25" s="2" t="s">
        <v>34</v>
      </c>
      <c r="F25" s="3">
        <v>1800</v>
      </c>
    </row>
    <row r="26" spans="1:6" ht="43.2" customHeight="1" x14ac:dyDescent="0.3">
      <c r="A26" s="2" t="s">
        <v>262</v>
      </c>
      <c r="B26" s="2" t="s">
        <v>252</v>
      </c>
      <c r="C26" s="2" t="s">
        <v>263</v>
      </c>
      <c r="D26" s="2" t="s">
        <v>265</v>
      </c>
      <c r="E26" s="2" t="s">
        <v>34</v>
      </c>
      <c r="F26" s="3">
        <v>700</v>
      </c>
    </row>
    <row r="27" spans="1:6" x14ac:dyDescent="0.3">
      <c r="A27" s="2" t="s">
        <v>266</v>
      </c>
      <c r="B27" s="2" t="s">
        <v>267</v>
      </c>
      <c r="C27" s="2" t="s">
        <v>268</v>
      </c>
      <c r="D27" s="2" t="s">
        <v>254</v>
      </c>
      <c r="E27" s="2" t="s">
        <v>34</v>
      </c>
      <c r="F27" s="3">
        <v>12765</v>
      </c>
    </row>
    <row r="28" spans="1:6" x14ac:dyDescent="0.3">
      <c r="A28" s="2" t="s">
        <v>269</v>
      </c>
      <c r="B28" s="2" t="s">
        <v>270</v>
      </c>
      <c r="C28" s="2" t="s">
        <v>268</v>
      </c>
      <c r="D28" s="2" t="s">
        <v>254</v>
      </c>
      <c r="E28" s="2" t="s">
        <v>34</v>
      </c>
      <c r="F28" s="3">
        <v>22240</v>
      </c>
    </row>
    <row r="29" spans="1:6" ht="28.8" customHeight="1" x14ac:dyDescent="0.3">
      <c r="A29" s="2" t="s">
        <v>271</v>
      </c>
      <c r="B29" s="2" t="s">
        <v>272</v>
      </c>
      <c r="C29" s="2" t="s">
        <v>268</v>
      </c>
      <c r="D29" s="2" t="s">
        <v>254</v>
      </c>
      <c r="E29" s="2" t="s">
        <v>34</v>
      </c>
      <c r="F29" s="3">
        <v>2265</v>
      </c>
    </row>
    <row r="30" spans="1:6" ht="28.8" customHeight="1" x14ac:dyDescent="0.3">
      <c r="A30" s="2" t="s">
        <v>273</v>
      </c>
      <c r="B30" s="2" t="s">
        <v>274</v>
      </c>
      <c r="C30" s="2" t="s">
        <v>257</v>
      </c>
      <c r="D30" s="2" t="s">
        <v>254</v>
      </c>
      <c r="E30" s="2" t="s">
        <v>34</v>
      </c>
      <c r="F30" s="3">
        <v>2070</v>
      </c>
    </row>
    <row r="31" spans="1:6" ht="43.2" customHeight="1" x14ac:dyDescent="0.3">
      <c r="A31" s="2" t="s">
        <v>275</v>
      </c>
      <c r="B31" s="2" t="s">
        <v>276</v>
      </c>
      <c r="C31" s="2" t="s">
        <v>277</v>
      </c>
      <c r="D31" s="2" t="s">
        <v>254</v>
      </c>
      <c r="E31" s="2" t="s">
        <v>34</v>
      </c>
      <c r="F31" s="3">
        <v>23170</v>
      </c>
    </row>
    <row r="32" spans="1:6" ht="57.6" customHeight="1" x14ac:dyDescent="0.3">
      <c r="A32" s="2" t="s">
        <v>278</v>
      </c>
      <c r="B32" s="2" t="s">
        <v>276</v>
      </c>
      <c r="C32" s="2" t="s">
        <v>279</v>
      </c>
      <c r="D32" s="2" t="s">
        <v>257</v>
      </c>
      <c r="E32" s="2" t="s">
        <v>34</v>
      </c>
      <c r="F32" s="3">
        <v>1140</v>
      </c>
    </row>
    <row r="33" spans="1:6" x14ac:dyDescent="0.3">
      <c r="A33" s="2" t="s">
        <v>280</v>
      </c>
      <c r="B33" s="2" t="s">
        <v>281</v>
      </c>
      <c r="C33" s="2" t="s">
        <v>282</v>
      </c>
      <c r="D33" s="2" t="s">
        <v>254</v>
      </c>
      <c r="E33" s="2" t="s">
        <v>34</v>
      </c>
      <c r="F33" s="3">
        <v>460</v>
      </c>
    </row>
    <row r="34" spans="1:6" x14ac:dyDescent="0.3">
      <c r="A34" s="2" t="s">
        <v>283</v>
      </c>
      <c r="B34" s="2" t="s">
        <v>281</v>
      </c>
      <c r="C34" s="2" t="s">
        <v>284</v>
      </c>
      <c r="D34" s="2" t="s">
        <v>254</v>
      </c>
      <c r="E34" s="2" t="s">
        <v>34</v>
      </c>
      <c r="F34" s="3">
        <v>890</v>
      </c>
    </row>
    <row r="35" spans="1:6" ht="28.8" x14ac:dyDescent="0.3">
      <c r="A35" s="2" t="s">
        <v>285</v>
      </c>
      <c r="B35" s="2" t="s">
        <v>281</v>
      </c>
      <c r="C35" s="2" t="s">
        <v>286</v>
      </c>
      <c r="D35" s="2" t="s">
        <v>254</v>
      </c>
      <c r="E35" s="2" t="s">
        <v>34</v>
      </c>
      <c r="F35" s="3">
        <v>1200</v>
      </c>
    </row>
    <row r="36" spans="1:6" x14ac:dyDescent="0.3">
      <c r="A36" s="2" t="s">
        <v>287</v>
      </c>
      <c r="B36" s="2" t="s">
        <v>288</v>
      </c>
      <c r="C36" s="2" t="s">
        <v>289</v>
      </c>
      <c r="D36" s="2" t="s">
        <v>254</v>
      </c>
      <c r="E36" s="2" t="s">
        <v>34</v>
      </c>
      <c r="F36" s="3">
        <v>280</v>
      </c>
    </row>
    <row r="37" spans="1:6" x14ac:dyDescent="0.3">
      <c r="A37" s="2" t="s">
        <v>290</v>
      </c>
      <c r="B37" s="2" t="s">
        <v>288</v>
      </c>
      <c r="C37" s="2" t="s">
        <v>291</v>
      </c>
      <c r="D37" s="2" t="s">
        <v>254</v>
      </c>
      <c r="E37" s="2" t="s">
        <v>34</v>
      </c>
      <c r="F37" s="3">
        <v>600</v>
      </c>
    </row>
    <row r="38" spans="1:6" ht="43.2" customHeight="1" x14ac:dyDescent="0.3">
      <c r="A38" s="2" t="s">
        <v>292</v>
      </c>
      <c r="B38" s="2" t="s">
        <v>293</v>
      </c>
      <c r="C38" s="2" t="s">
        <v>294</v>
      </c>
      <c r="D38" s="2" t="s">
        <v>254</v>
      </c>
      <c r="E38" s="2" t="s">
        <v>34</v>
      </c>
      <c r="F38" s="3">
        <v>1050</v>
      </c>
    </row>
    <row r="39" spans="1:6" ht="43.2" customHeight="1" x14ac:dyDescent="0.3">
      <c r="A39" s="2" t="s">
        <v>295</v>
      </c>
      <c r="B39" s="2" t="s">
        <v>296</v>
      </c>
      <c r="C39" s="2" t="s">
        <v>297</v>
      </c>
      <c r="D39" s="2" t="s">
        <v>254</v>
      </c>
      <c r="E39" s="2" t="s">
        <v>34</v>
      </c>
      <c r="F39" s="3">
        <v>9870</v>
      </c>
    </row>
    <row r="40" spans="1:6" ht="28.8" customHeight="1" x14ac:dyDescent="0.3">
      <c r="A40" s="2" t="s">
        <v>298</v>
      </c>
      <c r="B40" s="2" t="s">
        <v>296</v>
      </c>
      <c r="C40" s="2" t="s">
        <v>299</v>
      </c>
      <c r="D40" s="2" t="s">
        <v>300</v>
      </c>
      <c r="E40" s="2" t="s">
        <v>34</v>
      </c>
      <c r="F40" s="3">
        <v>235</v>
      </c>
    </row>
    <row r="43" spans="1:6" x14ac:dyDescent="0.3">
      <c r="A43" t="s">
        <v>301</v>
      </c>
      <c r="B43" s="9" t="s">
        <v>302</v>
      </c>
    </row>
    <row r="44" spans="1:6" x14ac:dyDescent="0.3">
      <c r="B44" t="s">
        <v>303</v>
      </c>
    </row>
    <row r="45" spans="1:6" x14ac:dyDescent="0.3">
      <c r="B45" s="10" t="s">
        <v>304</v>
      </c>
    </row>
    <row r="46" spans="1:6" x14ac:dyDescent="0.3">
      <c r="B46" s="10" t="s">
        <v>305</v>
      </c>
    </row>
    <row r="47" spans="1:6" x14ac:dyDescent="0.3">
      <c r="B47" s="10" t="s">
        <v>306</v>
      </c>
    </row>
    <row r="48" spans="1:6" x14ac:dyDescent="0.3">
      <c r="B48" s="10" t="s">
        <v>307</v>
      </c>
    </row>
    <row r="49" spans="2:2" x14ac:dyDescent="0.3">
      <c r="B49" s="10" t="s">
        <v>308</v>
      </c>
    </row>
    <row r="50" spans="2:2" x14ac:dyDescent="0.3">
      <c r="B50" t="s">
        <v>309</v>
      </c>
    </row>
    <row r="51" spans="2:2" x14ac:dyDescent="0.3">
      <c r="B51" t="s">
        <v>310</v>
      </c>
    </row>
    <row r="52" spans="2:2" x14ac:dyDescent="0.3">
      <c r="B52" s="9" t="s">
        <v>311</v>
      </c>
    </row>
    <row r="53" spans="2:2" x14ac:dyDescent="0.3">
      <c r="B53" s="10" t="s">
        <v>312</v>
      </c>
    </row>
    <row r="54" spans="2:2" x14ac:dyDescent="0.3">
      <c r="B54" s="10" t="s">
        <v>313</v>
      </c>
    </row>
  </sheetData>
  <pageMargins left="0.25" right="0.25" top="0.5" bottom="0.5" header="0.5" footer="0.5"/>
  <pageSetup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8"/>
  <sheetViews>
    <sheetView showGridLines="0" workbookViewId="0">
      <pane ySplit="4" topLeftCell="A5" activePane="bottomLeft" state="frozen"/>
      <selection pane="bottomLeft" activeCell="B25" sqref="B25"/>
    </sheetView>
  </sheetViews>
  <sheetFormatPr defaultRowHeight="14.4" x14ac:dyDescent="0.3"/>
  <cols>
    <col min="1" max="1" width="14" customWidth="1"/>
    <col min="2" max="2" width="43" customWidth="1"/>
    <col min="3" max="3" width="32" customWidth="1"/>
    <col min="4" max="4" width="24" customWidth="1"/>
    <col min="5" max="5" width="13.21875" customWidth="1"/>
  </cols>
  <sheetData>
    <row r="1" spans="1:5" ht="18" customHeight="1" x14ac:dyDescent="0.3">
      <c r="A1" s="5" t="s">
        <v>314</v>
      </c>
    </row>
    <row r="2" spans="1:5" x14ac:dyDescent="0.3">
      <c r="A2" s="6" t="s">
        <v>315</v>
      </c>
    </row>
    <row r="4" spans="1:5" x14ac:dyDescent="0.3">
      <c r="A4" s="1" t="s">
        <v>235</v>
      </c>
      <c r="B4" s="1" t="s">
        <v>316</v>
      </c>
      <c r="C4" s="1" t="s">
        <v>317</v>
      </c>
      <c r="D4" s="1" t="s">
        <v>318</v>
      </c>
      <c r="E4" s="1" t="s">
        <v>319</v>
      </c>
    </row>
    <row r="5" spans="1:5" x14ac:dyDescent="0.3">
      <c r="A5" s="2" t="s">
        <v>320</v>
      </c>
      <c r="B5" s="2" t="s">
        <v>321</v>
      </c>
      <c r="C5" s="2" t="s">
        <v>7</v>
      </c>
      <c r="D5" s="2" t="s">
        <v>322</v>
      </c>
      <c r="E5" s="3">
        <v>4</v>
      </c>
    </row>
    <row r="6" spans="1:5" x14ac:dyDescent="0.3">
      <c r="A6" s="2" t="s">
        <v>320</v>
      </c>
      <c r="B6" s="2" t="s">
        <v>321</v>
      </c>
      <c r="C6" s="2" t="s">
        <v>243</v>
      </c>
      <c r="D6" s="2" t="s">
        <v>322</v>
      </c>
      <c r="E6" s="3">
        <v>10</v>
      </c>
    </row>
    <row r="7" spans="1:5" x14ac:dyDescent="0.3">
      <c r="A7" s="2" t="s">
        <v>320</v>
      </c>
      <c r="B7" s="2" t="s">
        <v>321</v>
      </c>
      <c r="C7" s="2" t="s">
        <v>244</v>
      </c>
      <c r="D7" s="2" t="s">
        <v>322</v>
      </c>
      <c r="E7" s="3">
        <v>5</v>
      </c>
    </row>
    <row r="8" spans="1:5" x14ac:dyDescent="0.3">
      <c r="A8" s="2" t="s">
        <v>320</v>
      </c>
      <c r="B8" s="2" t="s">
        <v>321</v>
      </c>
      <c r="C8" s="2" t="s">
        <v>323</v>
      </c>
      <c r="D8" s="2" t="s">
        <v>322</v>
      </c>
      <c r="E8" s="3">
        <v>12</v>
      </c>
    </row>
    <row r="9" spans="1:5" x14ac:dyDescent="0.3">
      <c r="A9" s="2" t="s">
        <v>320</v>
      </c>
      <c r="B9" s="2" t="s">
        <v>321</v>
      </c>
      <c r="C9" s="2" t="s">
        <v>324</v>
      </c>
      <c r="D9" s="2" t="s">
        <v>322</v>
      </c>
      <c r="E9" s="3">
        <v>8</v>
      </c>
    </row>
    <row r="10" spans="1:5" x14ac:dyDescent="0.3">
      <c r="A10" s="2" t="s">
        <v>320</v>
      </c>
      <c r="B10" s="2" t="s">
        <v>321</v>
      </c>
      <c r="C10" s="2" t="s">
        <v>325</v>
      </c>
      <c r="D10" s="2" t="s">
        <v>322</v>
      </c>
      <c r="E10" s="3">
        <v>9</v>
      </c>
    </row>
    <row r="11" spans="1:5" x14ac:dyDescent="0.3">
      <c r="A11" s="2" t="s">
        <v>326</v>
      </c>
      <c r="B11" s="2" t="s">
        <v>327</v>
      </c>
      <c r="C11" s="2" t="s">
        <v>328</v>
      </c>
      <c r="D11" s="2" t="s">
        <v>322</v>
      </c>
      <c r="E11" s="4">
        <v>3.75</v>
      </c>
    </row>
    <row r="12" spans="1:5" x14ac:dyDescent="0.3">
      <c r="A12" s="2" t="s">
        <v>329</v>
      </c>
      <c r="B12" s="2" t="s">
        <v>330</v>
      </c>
      <c r="C12" s="2" t="s">
        <v>328</v>
      </c>
      <c r="D12" s="2" t="s">
        <v>322</v>
      </c>
      <c r="E12" s="4">
        <v>1.25</v>
      </c>
    </row>
    <row r="13" spans="1:5" x14ac:dyDescent="0.3">
      <c r="A13" s="2" t="s">
        <v>331</v>
      </c>
      <c r="B13" s="2" t="s">
        <v>332</v>
      </c>
      <c r="C13" s="2" t="s">
        <v>328</v>
      </c>
      <c r="D13" s="2" t="s">
        <v>322</v>
      </c>
      <c r="E13" s="4">
        <v>1.25</v>
      </c>
    </row>
    <row r="14" spans="1:5" x14ac:dyDescent="0.3">
      <c r="A14" s="2" t="s">
        <v>333</v>
      </c>
      <c r="B14" s="2" t="s">
        <v>334</v>
      </c>
      <c r="C14" s="2" t="s">
        <v>328</v>
      </c>
      <c r="D14" s="2" t="s">
        <v>322</v>
      </c>
      <c r="E14" s="4">
        <v>12.5</v>
      </c>
    </row>
    <row r="15" spans="1:5" x14ac:dyDescent="0.3">
      <c r="A15" s="2" t="s">
        <v>335</v>
      </c>
      <c r="B15" s="2" t="s">
        <v>336</v>
      </c>
      <c r="C15" s="2" t="s">
        <v>328</v>
      </c>
      <c r="D15" s="2" t="s">
        <v>322</v>
      </c>
      <c r="E15" s="3">
        <v>4</v>
      </c>
    </row>
    <row r="16" spans="1:5" x14ac:dyDescent="0.3">
      <c r="A16" s="2" t="s">
        <v>337</v>
      </c>
      <c r="B16" s="2" t="s">
        <v>338</v>
      </c>
      <c r="C16" s="2" t="s">
        <v>7</v>
      </c>
      <c r="D16" s="2" t="s">
        <v>322</v>
      </c>
      <c r="E16" s="4">
        <v>0.25</v>
      </c>
    </row>
    <row r="17" spans="1:5" x14ac:dyDescent="0.3">
      <c r="A17" s="2" t="s">
        <v>337</v>
      </c>
      <c r="B17" s="2" t="s">
        <v>338</v>
      </c>
      <c r="C17" s="2" t="s">
        <v>243</v>
      </c>
      <c r="D17" s="2" t="s">
        <v>322</v>
      </c>
      <c r="E17" s="4">
        <v>0.25</v>
      </c>
    </row>
    <row r="18" spans="1:5" x14ac:dyDescent="0.3">
      <c r="A18" s="2" t="s">
        <v>337</v>
      </c>
      <c r="B18" s="2" t="s">
        <v>338</v>
      </c>
      <c r="C18" s="2" t="s">
        <v>244</v>
      </c>
      <c r="D18" s="2" t="s">
        <v>322</v>
      </c>
      <c r="E18" s="4">
        <v>0.25</v>
      </c>
    </row>
    <row r="19" spans="1:5" x14ac:dyDescent="0.3">
      <c r="A19" s="2" t="s">
        <v>337</v>
      </c>
      <c r="B19" s="2" t="s">
        <v>338</v>
      </c>
      <c r="C19" s="2" t="s">
        <v>339</v>
      </c>
      <c r="D19" s="2" t="s">
        <v>322</v>
      </c>
      <c r="E19" s="4">
        <v>0.25</v>
      </c>
    </row>
    <row r="20" spans="1:5" x14ac:dyDescent="0.3">
      <c r="A20" s="2" t="s">
        <v>337</v>
      </c>
      <c r="B20" s="2" t="s">
        <v>338</v>
      </c>
      <c r="C20" s="2" t="s">
        <v>325</v>
      </c>
      <c r="D20" s="2" t="s">
        <v>322</v>
      </c>
      <c r="E20" s="2"/>
    </row>
    <row r="21" spans="1:5" x14ac:dyDescent="0.3">
      <c r="A21" s="2" t="s">
        <v>340</v>
      </c>
      <c r="B21" s="2" t="s">
        <v>341</v>
      </c>
      <c r="C21" s="2" t="s">
        <v>7</v>
      </c>
      <c r="D21" s="2" t="s">
        <v>322</v>
      </c>
      <c r="E21" s="4">
        <v>0.25</v>
      </c>
    </row>
    <row r="22" spans="1:5" x14ac:dyDescent="0.3">
      <c r="A22" s="2" t="s">
        <v>340</v>
      </c>
      <c r="B22" s="2" t="s">
        <v>341</v>
      </c>
      <c r="C22" s="2" t="s">
        <v>243</v>
      </c>
      <c r="D22" s="2" t="s">
        <v>322</v>
      </c>
      <c r="E22" s="4">
        <v>0.25</v>
      </c>
    </row>
    <row r="23" spans="1:5" x14ac:dyDescent="0.3">
      <c r="A23" s="2" t="s">
        <v>340</v>
      </c>
      <c r="B23" s="2" t="s">
        <v>341</v>
      </c>
      <c r="C23" s="2" t="s">
        <v>244</v>
      </c>
      <c r="D23" s="2" t="s">
        <v>322</v>
      </c>
      <c r="E23" s="4">
        <v>0.25</v>
      </c>
    </row>
    <row r="24" spans="1:5" x14ac:dyDescent="0.3">
      <c r="A24" s="2" t="s">
        <v>340</v>
      </c>
      <c r="B24" s="2" t="s">
        <v>341</v>
      </c>
      <c r="C24" s="2" t="s">
        <v>339</v>
      </c>
      <c r="D24" s="2" t="s">
        <v>322</v>
      </c>
      <c r="E24" s="4">
        <v>0.25</v>
      </c>
    </row>
    <row r="25" spans="1:5" x14ac:dyDescent="0.3">
      <c r="A25" s="2" t="s">
        <v>340</v>
      </c>
      <c r="B25" s="2" t="s">
        <v>341</v>
      </c>
      <c r="C25" s="2" t="s">
        <v>325</v>
      </c>
      <c r="D25" s="2" t="s">
        <v>322</v>
      </c>
      <c r="E25" s="2"/>
    </row>
    <row r="27" spans="1:5" x14ac:dyDescent="0.3">
      <c r="A27" s="8" t="s">
        <v>342</v>
      </c>
    </row>
    <row r="28" spans="1:5" x14ac:dyDescent="0.3">
      <c r="A28" s="7" t="s">
        <v>343</v>
      </c>
    </row>
  </sheetData>
  <pageMargins left="0.25" right="0.25" top="0.5" bottom="0.5"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showGridLines="0" workbookViewId="0">
      <pane ySplit="4" topLeftCell="A5" activePane="bottomLeft" state="frozen"/>
      <selection pane="bottomLeft" activeCell="E6" sqref="E6"/>
    </sheetView>
  </sheetViews>
  <sheetFormatPr defaultRowHeight="14.4" x14ac:dyDescent="0.3"/>
  <cols>
    <col min="1" max="1" width="14" customWidth="1"/>
    <col min="2" max="2" width="40" customWidth="1"/>
    <col min="3" max="3" width="32" customWidth="1"/>
    <col min="4" max="4" width="24" customWidth="1"/>
    <col min="5" max="5" width="20" customWidth="1"/>
  </cols>
  <sheetData>
    <row r="1" spans="1:5" ht="18" customHeight="1" x14ac:dyDescent="0.3">
      <c r="A1" s="5" t="s">
        <v>344</v>
      </c>
    </row>
    <row r="2" spans="1:5" x14ac:dyDescent="0.3">
      <c r="A2" s="6" t="s">
        <v>345</v>
      </c>
    </row>
    <row r="4" spans="1:5" x14ac:dyDescent="0.3">
      <c r="A4" s="1" t="s">
        <v>235</v>
      </c>
      <c r="B4" s="1" t="s">
        <v>316</v>
      </c>
      <c r="C4" s="1" t="s">
        <v>346</v>
      </c>
      <c r="D4" s="1" t="s">
        <v>318</v>
      </c>
      <c r="E4" s="1" t="s">
        <v>319</v>
      </c>
    </row>
    <row r="5" spans="1:5" ht="28.8" customHeight="1" x14ac:dyDescent="0.3">
      <c r="A5" s="2" t="s">
        <v>347</v>
      </c>
      <c r="B5" s="2" t="s">
        <v>348</v>
      </c>
      <c r="C5" s="2" t="s">
        <v>328</v>
      </c>
      <c r="D5" s="2" t="s">
        <v>349</v>
      </c>
      <c r="E5" s="3">
        <v>1</v>
      </c>
    </row>
    <row r="6" spans="1:5" ht="28.8" customHeight="1" x14ac:dyDescent="0.3">
      <c r="A6" s="2" t="s">
        <v>350</v>
      </c>
      <c r="B6" s="2" t="s">
        <v>351</v>
      </c>
      <c r="C6" s="2" t="s">
        <v>328</v>
      </c>
      <c r="D6" s="2" t="s">
        <v>349</v>
      </c>
      <c r="E6" s="4">
        <v>1.75</v>
      </c>
    </row>
  </sheetData>
  <pageMargins left="0.25" right="0.25" top="0.5" bottom="0.5"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workbookViewId="0">
      <pane ySplit="4" topLeftCell="A5" activePane="bottomLeft" state="frozen"/>
      <selection pane="bottomLeft" activeCell="A5" sqref="A5"/>
    </sheetView>
  </sheetViews>
  <sheetFormatPr defaultRowHeight="14.4" x14ac:dyDescent="0.3"/>
  <cols>
    <col min="1" max="1" width="14" customWidth="1"/>
    <col min="2" max="2" width="28.109375" customWidth="1"/>
    <col min="3" max="5" width="15.88671875" customWidth="1"/>
    <col min="6" max="6" width="12.21875" customWidth="1"/>
    <col min="7" max="8" width="18.5546875" customWidth="1"/>
  </cols>
  <sheetData>
    <row r="1" spans="1:9" ht="18" customHeight="1" x14ac:dyDescent="0.3">
      <c r="A1" s="5" t="s">
        <v>352</v>
      </c>
    </row>
    <row r="2" spans="1:9" x14ac:dyDescent="0.3">
      <c r="A2" s="6" t="s">
        <v>353</v>
      </c>
    </row>
    <row r="4" spans="1:9" ht="28.8" x14ac:dyDescent="0.3">
      <c r="A4" s="1" t="s">
        <v>235</v>
      </c>
      <c r="B4" s="1" t="s">
        <v>354</v>
      </c>
      <c r="C4" s="1" t="s">
        <v>355</v>
      </c>
      <c r="D4" s="1" t="s">
        <v>356</v>
      </c>
      <c r="E4" s="1" t="s">
        <v>357</v>
      </c>
      <c r="F4" s="1" t="s">
        <v>358</v>
      </c>
      <c r="G4" s="1" t="s">
        <v>359</v>
      </c>
      <c r="H4" s="25" t="s">
        <v>360</v>
      </c>
      <c r="I4" t="s">
        <v>361</v>
      </c>
    </row>
    <row r="5" spans="1:9" x14ac:dyDescent="0.3">
      <c r="A5" s="2" t="s">
        <v>362</v>
      </c>
      <c r="B5" s="2" t="s">
        <v>363</v>
      </c>
      <c r="C5" s="2" t="s">
        <v>364</v>
      </c>
      <c r="D5" s="2" t="s">
        <v>365</v>
      </c>
      <c r="E5" s="2" t="s">
        <v>366</v>
      </c>
      <c r="F5" s="4">
        <v>17.239999999999998</v>
      </c>
      <c r="G5" s="3">
        <v>99860</v>
      </c>
      <c r="H5" s="26">
        <f t="shared" ref="H5:H17" si="0">VALUE(MID(E5,FIND("+",E5)+1,10))+1</f>
        <v>5</v>
      </c>
      <c r="I5" t="str">
        <f t="shared" ref="I5:I17" si="1">B5&amp;" "&amp;C5&amp;"-person, "&amp;D5&amp;" m/s, "&amp;E5</f>
        <v>Passenger 8-person, 1.0 m/s, G+4</v>
      </c>
    </row>
    <row r="6" spans="1:9" x14ac:dyDescent="0.3">
      <c r="A6" s="2" t="s">
        <v>367</v>
      </c>
      <c r="B6" s="2" t="s">
        <v>363</v>
      </c>
      <c r="C6" s="2" t="s">
        <v>364</v>
      </c>
      <c r="D6" s="2" t="s">
        <v>368</v>
      </c>
      <c r="E6" s="2" t="s">
        <v>369</v>
      </c>
      <c r="F6" s="4">
        <v>19.39</v>
      </c>
      <c r="G6" s="3">
        <v>99860</v>
      </c>
      <c r="H6" s="26">
        <f t="shared" si="0"/>
        <v>6</v>
      </c>
      <c r="I6" t="str">
        <f t="shared" si="1"/>
        <v>Passenger 8-person, 1.5 m/s, G+5</v>
      </c>
    </row>
    <row r="7" spans="1:9" x14ac:dyDescent="0.3">
      <c r="A7" s="2" t="s">
        <v>370</v>
      </c>
      <c r="B7" s="2" t="s">
        <v>363</v>
      </c>
      <c r="C7" s="2" t="s">
        <v>371</v>
      </c>
      <c r="D7" s="2" t="s">
        <v>365</v>
      </c>
      <c r="E7" s="2" t="s">
        <v>366</v>
      </c>
      <c r="F7" s="4">
        <v>19.39</v>
      </c>
      <c r="G7" s="3">
        <v>99860</v>
      </c>
      <c r="H7" s="26">
        <f t="shared" si="0"/>
        <v>5</v>
      </c>
      <c r="I7" t="str">
        <f t="shared" si="1"/>
        <v>Passenger 13-person, 1.0 m/s, G+4</v>
      </c>
    </row>
    <row r="8" spans="1:9" x14ac:dyDescent="0.3">
      <c r="A8" s="2" t="s">
        <v>372</v>
      </c>
      <c r="B8" s="2" t="s">
        <v>363</v>
      </c>
      <c r="C8" s="2" t="s">
        <v>371</v>
      </c>
      <c r="D8" s="2" t="s">
        <v>368</v>
      </c>
      <c r="E8" s="2" t="s">
        <v>369</v>
      </c>
      <c r="F8" s="4">
        <v>21.55</v>
      </c>
      <c r="G8" s="3">
        <v>122050</v>
      </c>
      <c r="H8" s="26">
        <f t="shared" si="0"/>
        <v>6</v>
      </c>
      <c r="I8" t="str">
        <f t="shared" si="1"/>
        <v>Passenger 13-person, 1.5 m/s, G+5</v>
      </c>
    </row>
    <row r="9" spans="1:9" x14ac:dyDescent="0.3">
      <c r="A9" s="2" t="s">
        <v>373</v>
      </c>
      <c r="B9" s="2" t="s">
        <v>363</v>
      </c>
      <c r="C9" s="2" t="s">
        <v>374</v>
      </c>
      <c r="D9" s="2" t="s">
        <v>365</v>
      </c>
      <c r="E9" s="2" t="s">
        <v>366</v>
      </c>
      <c r="F9" s="4">
        <v>25.85</v>
      </c>
      <c r="G9" s="3">
        <v>122050</v>
      </c>
      <c r="H9" s="26">
        <f t="shared" si="0"/>
        <v>5</v>
      </c>
      <c r="I9" t="str">
        <f t="shared" si="1"/>
        <v>Passenger 16-person, 1.0 m/s, G+4</v>
      </c>
    </row>
    <row r="10" spans="1:9" x14ac:dyDescent="0.3">
      <c r="A10" s="2" t="s">
        <v>375</v>
      </c>
      <c r="B10" s="2" t="s">
        <v>363</v>
      </c>
      <c r="C10" s="2" t="s">
        <v>374</v>
      </c>
      <c r="D10" s="2" t="s">
        <v>368</v>
      </c>
      <c r="E10" s="2" t="s">
        <v>369</v>
      </c>
      <c r="F10" s="4">
        <v>28.01</v>
      </c>
      <c r="G10" s="3">
        <v>122050</v>
      </c>
      <c r="H10" s="26">
        <f t="shared" si="0"/>
        <v>6</v>
      </c>
      <c r="I10" t="str">
        <f t="shared" si="1"/>
        <v>Passenger 16-person, 1.5 m/s, G+5</v>
      </c>
    </row>
    <row r="11" spans="1:9" x14ac:dyDescent="0.3">
      <c r="A11" s="2" t="s">
        <v>376</v>
      </c>
      <c r="B11" s="2" t="s">
        <v>363</v>
      </c>
      <c r="C11" s="2" t="s">
        <v>374</v>
      </c>
      <c r="D11" s="2" t="s">
        <v>377</v>
      </c>
      <c r="E11" s="2" t="s">
        <v>378</v>
      </c>
      <c r="F11" s="4">
        <v>75.41</v>
      </c>
      <c r="G11" s="3">
        <v>122050</v>
      </c>
      <c r="H11" s="26">
        <f t="shared" si="0"/>
        <v>13</v>
      </c>
      <c r="I11" t="str">
        <f t="shared" si="1"/>
        <v>Passenger 16-person, 2.5 m/s, G+12</v>
      </c>
    </row>
    <row r="12" spans="1:9" x14ac:dyDescent="0.3">
      <c r="A12" s="2" t="s">
        <v>379</v>
      </c>
      <c r="B12" s="2" t="s">
        <v>380</v>
      </c>
      <c r="C12" s="2" t="s">
        <v>381</v>
      </c>
      <c r="D12" s="2" t="s">
        <v>382</v>
      </c>
      <c r="E12" s="2" t="s">
        <v>366</v>
      </c>
      <c r="F12" s="4">
        <v>25.85</v>
      </c>
      <c r="G12" s="3">
        <v>122050</v>
      </c>
      <c r="H12" s="26">
        <f t="shared" si="0"/>
        <v>5</v>
      </c>
      <c r="I12" t="str">
        <f t="shared" si="1"/>
        <v>Bed 20-person, 0.75 m/s, G+4</v>
      </c>
    </row>
    <row r="13" spans="1:9" x14ac:dyDescent="0.3">
      <c r="A13" s="2" t="s">
        <v>383</v>
      </c>
      <c r="B13" s="2" t="s">
        <v>380</v>
      </c>
      <c r="C13" s="2" t="s">
        <v>381</v>
      </c>
      <c r="D13" s="2" t="s">
        <v>368</v>
      </c>
      <c r="E13" s="2" t="s">
        <v>369</v>
      </c>
      <c r="F13" s="4">
        <v>29.09</v>
      </c>
      <c r="G13" s="3">
        <v>122050</v>
      </c>
      <c r="H13" s="26">
        <f t="shared" si="0"/>
        <v>6</v>
      </c>
      <c r="I13" t="str">
        <f t="shared" si="1"/>
        <v>Bed 20-person, 1.5 m/s, G+5</v>
      </c>
    </row>
    <row r="14" spans="1:9" x14ac:dyDescent="0.3">
      <c r="A14" s="2" t="s">
        <v>384</v>
      </c>
      <c r="B14" s="2" t="s">
        <v>380</v>
      </c>
      <c r="C14" s="2" t="s">
        <v>381</v>
      </c>
      <c r="D14" s="2" t="s">
        <v>377</v>
      </c>
      <c r="E14" s="2" t="s">
        <v>378</v>
      </c>
      <c r="F14" s="4">
        <v>80.790000000000006</v>
      </c>
      <c r="G14" s="3">
        <v>122050</v>
      </c>
      <c r="H14" s="26">
        <f t="shared" si="0"/>
        <v>13</v>
      </c>
      <c r="I14" t="str">
        <f t="shared" si="1"/>
        <v>Bed 20-person, 2.5 m/s, G+12</v>
      </c>
    </row>
    <row r="15" spans="1:9" x14ac:dyDescent="0.3">
      <c r="A15" s="2" t="s">
        <v>385</v>
      </c>
      <c r="B15" s="2" t="s">
        <v>386</v>
      </c>
      <c r="C15" s="2" t="s">
        <v>387</v>
      </c>
      <c r="D15" s="2" t="s">
        <v>388</v>
      </c>
      <c r="E15" s="2" t="s">
        <v>366</v>
      </c>
      <c r="F15" s="4">
        <v>28.01</v>
      </c>
      <c r="G15" s="3">
        <v>94310</v>
      </c>
      <c r="H15" s="26">
        <f t="shared" si="0"/>
        <v>5</v>
      </c>
      <c r="I15" t="str">
        <f t="shared" si="1"/>
        <v>Goods (2 speed) 1 Ton-person, 0.5 m/s, G+4</v>
      </c>
    </row>
    <row r="16" spans="1:9" x14ac:dyDescent="0.3">
      <c r="A16" s="2" t="s">
        <v>389</v>
      </c>
      <c r="B16" s="2" t="s">
        <v>386</v>
      </c>
      <c r="C16" s="2" t="s">
        <v>390</v>
      </c>
      <c r="D16" s="2" t="s">
        <v>388</v>
      </c>
      <c r="E16" s="2" t="s">
        <v>366</v>
      </c>
      <c r="F16" s="4">
        <v>35.549999999999997</v>
      </c>
      <c r="G16" s="3">
        <v>94310</v>
      </c>
      <c r="H16" s="26">
        <f t="shared" si="0"/>
        <v>5</v>
      </c>
      <c r="I16" t="str">
        <f t="shared" si="1"/>
        <v>Goods (2 speed) 2 Ton-person, 0.5 m/s, G+4</v>
      </c>
    </row>
    <row r="17" spans="1:9" x14ac:dyDescent="0.3">
      <c r="A17" s="2" t="s">
        <v>391</v>
      </c>
      <c r="B17" s="2" t="s">
        <v>386</v>
      </c>
      <c r="C17" s="2" t="s">
        <v>392</v>
      </c>
      <c r="D17" s="2" t="s">
        <v>393</v>
      </c>
      <c r="E17" s="2" t="s">
        <v>366</v>
      </c>
      <c r="F17" s="4">
        <v>44.17</v>
      </c>
      <c r="G17" s="3">
        <v>110950</v>
      </c>
      <c r="H17" s="26">
        <f t="shared" si="0"/>
        <v>5</v>
      </c>
      <c r="I17" t="str">
        <f t="shared" si="1"/>
        <v>Goods (2 speed) 3 Ton-person, 0.25 m/s, G+4</v>
      </c>
    </row>
  </sheetData>
  <pageMargins left="0.25" right="0.25" top="0.5" bottom="0.5" header="0.5" footer="0.5"/>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showGridLines="0" workbookViewId="0">
      <pane ySplit="4" topLeftCell="A5" activePane="bottomLeft" state="frozen"/>
      <selection pane="bottomLeft" activeCell="A6" sqref="A6"/>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394</v>
      </c>
    </row>
    <row r="2" spans="1:4" x14ac:dyDescent="0.3">
      <c r="A2" s="6" t="s">
        <v>395</v>
      </c>
    </row>
    <row r="4" spans="1:4" x14ac:dyDescent="0.3">
      <c r="A4" s="1" t="s">
        <v>235</v>
      </c>
      <c r="B4" s="1" t="s">
        <v>316</v>
      </c>
      <c r="C4" s="1" t="s">
        <v>239</v>
      </c>
      <c r="D4" s="1" t="s">
        <v>139</v>
      </c>
    </row>
    <row r="5" spans="1:4" x14ac:dyDescent="0.3">
      <c r="A5" s="2" t="s">
        <v>396</v>
      </c>
      <c r="B5" s="2" t="s">
        <v>397</v>
      </c>
      <c r="C5" s="2" t="s">
        <v>398</v>
      </c>
      <c r="D5" s="2">
        <v>23</v>
      </c>
    </row>
    <row r="6" spans="1:4" x14ac:dyDescent="0.3">
      <c r="A6" s="2" t="s">
        <v>399</v>
      </c>
      <c r="B6" s="2" t="s">
        <v>400</v>
      </c>
      <c r="C6" s="2" t="s">
        <v>398</v>
      </c>
      <c r="D6" s="2">
        <v>35</v>
      </c>
    </row>
    <row r="7" spans="1:4" x14ac:dyDescent="0.3">
      <c r="A7" s="2" t="s">
        <v>401</v>
      </c>
      <c r="B7" s="2" t="s">
        <v>402</v>
      </c>
      <c r="C7" s="2" t="s">
        <v>398</v>
      </c>
      <c r="D7" s="2">
        <v>40</v>
      </c>
    </row>
    <row r="8" spans="1:4" x14ac:dyDescent="0.3">
      <c r="A8" s="2" t="s">
        <v>403</v>
      </c>
      <c r="B8" s="2" t="s">
        <v>404</v>
      </c>
      <c r="C8" s="2" t="s">
        <v>398</v>
      </c>
      <c r="D8" s="2">
        <v>47</v>
      </c>
    </row>
    <row r="9" spans="1:4" x14ac:dyDescent="0.3">
      <c r="A9" s="2" t="s">
        <v>405</v>
      </c>
      <c r="B9" s="2" t="s">
        <v>406</v>
      </c>
      <c r="C9" s="2" t="s">
        <v>398</v>
      </c>
      <c r="D9" s="2">
        <v>24</v>
      </c>
    </row>
  </sheetData>
  <pageMargins left="0.25" right="0.25" top="0.5" bottom="0.5" header="0.5" footer="0.5"/>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showGridLines="0" workbookViewId="0">
      <pane ySplit="4" topLeftCell="A5" activePane="bottomLeft" state="frozen"/>
      <selection pane="bottomLeft" activeCell="A27" sqref="A27"/>
    </sheetView>
  </sheetViews>
  <sheetFormatPr defaultRowHeight="14.4" x14ac:dyDescent="0.3"/>
  <cols>
    <col min="1" max="1" width="14" customWidth="1"/>
    <col min="2" max="2" width="55" customWidth="1"/>
    <col min="3" max="3" width="14.77734375" customWidth="1"/>
    <col min="4" max="4" width="14.21875" customWidth="1"/>
  </cols>
  <sheetData>
    <row r="1" spans="1:4" ht="18" customHeight="1" x14ac:dyDescent="0.3">
      <c r="A1" s="5" t="s">
        <v>407</v>
      </c>
    </row>
    <row r="2" spans="1:4" x14ac:dyDescent="0.3">
      <c r="A2" s="6" t="s">
        <v>408</v>
      </c>
    </row>
    <row r="4" spans="1:4" x14ac:dyDescent="0.3">
      <c r="A4" s="1" t="s">
        <v>235</v>
      </c>
      <c r="B4" s="1" t="s">
        <v>316</v>
      </c>
      <c r="C4" s="1" t="s">
        <v>239</v>
      </c>
      <c r="D4" s="1" t="s">
        <v>139</v>
      </c>
    </row>
    <row r="5" spans="1:4" x14ac:dyDescent="0.3">
      <c r="A5" s="2" t="s">
        <v>409</v>
      </c>
      <c r="B5" s="2" t="s">
        <v>410</v>
      </c>
      <c r="C5" s="2" t="s">
        <v>34</v>
      </c>
      <c r="D5" s="2">
        <v>160</v>
      </c>
    </row>
    <row r="6" spans="1:4" x14ac:dyDescent="0.3">
      <c r="A6" s="2" t="s">
        <v>411</v>
      </c>
      <c r="B6" s="2" t="s">
        <v>412</v>
      </c>
      <c r="C6" s="2" t="s">
        <v>34</v>
      </c>
      <c r="D6" s="2">
        <v>1940</v>
      </c>
    </row>
    <row r="7" spans="1:4" x14ac:dyDescent="0.3">
      <c r="A7" s="2" t="s">
        <v>413</v>
      </c>
      <c r="B7" s="2" t="s">
        <v>414</v>
      </c>
      <c r="C7" s="2" t="s">
        <v>34</v>
      </c>
      <c r="D7" s="2">
        <v>2150</v>
      </c>
    </row>
    <row r="8" spans="1:4" x14ac:dyDescent="0.3">
      <c r="A8" s="2" t="s">
        <v>415</v>
      </c>
      <c r="B8" s="2" t="s">
        <v>416</v>
      </c>
      <c r="C8" s="2" t="s">
        <v>34</v>
      </c>
      <c r="D8" s="2">
        <v>2945</v>
      </c>
    </row>
    <row r="9" spans="1:4" ht="28.8" customHeight="1" x14ac:dyDescent="0.3">
      <c r="A9" s="2" t="s">
        <v>417</v>
      </c>
      <c r="B9" s="2" t="s">
        <v>418</v>
      </c>
      <c r="C9" s="2" t="s">
        <v>34</v>
      </c>
      <c r="D9" s="2">
        <v>2930</v>
      </c>
    </row>
    <row r="10" spans="1:4" x14ac:dyDescent="0.3">
      <c r="A10" s="2" t="s">
        <v>419</v>
      </c>
      <c r="B10" s="2" t="s">
        <v>420</v>
      </c>
      <c r="C10" s="2" t="s">
        <v>421</v>
      </c>
      <c r="D10" s="2">
        <v>4180</v>
      </c>
    </row>
    <row r="11" spans="1:4" x14ac:dyDescent="0.3">
      <c r="A11" s="2" t="s">
        <v>422</v>
      </c>
      <c r="B11" s="2" t="s">
        <v>423</v>
      </c>
      <c r="C11" s="2" t="s">
        <v>421</v>
      </c>
      <c r="D11" s="2">
        <v>2170</v>
      </c>
    </row>
    <row r="12" spans="1:4" ht="28.8" customHeight="1" x14ac:dyDescent="0.3">
      <c r="A12" s="2" t="s">
        <v>424</v>
      </c>
      <c r="B12" s="2" t="s">
        <v>425</v>
      </c>
      <c r="C12" s="2" t="s">
        <v>421</v>
      </c>
      <c r="D12" s="2">
        <v>4175</v>
      </c>
    </row>
    <row r="13" spans="1:4" x14ac:dyDescent="0.3">
      <c r="A13" s="2" t="s">
        <v>426</v>
      </c>
      <c r="B13" s="2" t="s">
        <v>427</v>
      </c>
      <c r="C13" s="2" t="s">
        <v>421</v>
      </c>
      <c r="D13" s="2">
        <v>1560</v>
      </c>
    </row>
    <row r="14" spans="1:4" x14ac:dyDescent="0.3">
      <c r="A14" s="2" t="s">
        <v>428</v>
      </c>
      <c r="B14" s="2" t="s">
        <v>429</v>
      </c>
      <c r="C14" s="2" t="s">
        <v>421</v>
      </c>
      <c r="D14" s="2">
        <v>10810</v>
      </c>
    </row>
    <row r="15" spans="1:4" x14ac:dyDescent="0.3">
      <c r="A15" s="2" t="s">
        <v>430</v>
      </c>
      <c r="B15" s="2" t="s">
        <v>431</v>
      </c>
      <c r="C15" s="2" t="s">
        <v>421</v>
      </c>
      <c r="D15" s="2">
        <v>2330</v>
      </c>
    </row>
    <row r="16" spans="1:4" x14ac:dyDescent="0.3">
      <c r="A16" s="2" t="s">
        <v>432</v>
      </c>
      <c r="B16" s="2" t="s">
        <v>433</v>
      </c>
      <c r="C16" s="2" t="s">
        <v>421</v>
      </c>
      <c r="D16" s="2">
        <v>7460</v>
      </c>
    </row>
    <row r="17" spans="1:4" ht="43.2" customHeight="1" x14ac:dyDescent="0.3">
      <c r="A17" s="2" t="s">
        <v>434</v>
      </c>
      <c r="B17" s="2" t="s">
        <v>435</v>
      </c>
      <c r="C17" s="2" t="s">
        <v>421</v>
      </c>
      <c r="D17" s="2">
        <v>13210</v>
      </c>
    </row>
    <row r="18" spans="1:4" ht="43.2" customHeight="1" x14ac:dyDescent="0.3">
      <c r="A18" s="2" t="s">
        <v>436</v>
      </c>
      <c r="B18" s="2" t="s">
        <v>437</v>
      </c>
      <c r="C18" s="2" t="s">
        <v>421</v>
      </c>
      <c r="D18" s="2">
        <v>9735</v>
      </c>
    </row>
    <row r="19" spans="1:4" ht="28.8" customHeight="1" x14ac:dyDescent="0.3">
      <c r="A19" s="2" t="s">
        <v>438</v>
      </c>
      <c r="B19" s="2" t="s">
        <v>439</v>
      </c>
      <c r="C19" s="2" t="s">
        <v>34</v>
      </c>
      <c r="D19" s="2">
        <v>578</v>
      </c>
    </row>
    <row r="20" spans="1:4" ht="28.8" customHeight="1" x14ac:dyDescent="0.3">
      <c r="A20" s="2" t="s">
        <v>440</v>
      </c>
      <c r="B20" s="2" t="s">
        <v>441</v>
      </c>
      <c r="C20" s="2" t="s">
        <v>34</v>
      </c>
      <c r="D20" s="2">
        <v>6683</v>
      </c>
    </row>
  </sheetData>
  <pageMargins left="0.25" right="0.25" top="0.5" bottom="0.5" header="0.5" footer="0.5"/>
  <pageSetup fitToHeight="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4"/>
  <sheetViews>
    <sheetView showGridLines="0" workbookViewId="0">
      <pane ySplit="4" topLeftCell="A41" activePane="bottomLeft" state="frozen"/>
      <selection pane="bottomLeft" activeCell="A54" sqref="A54"/>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442</v>
      </c>
    </row>
    <row r="2" spans="1:4" x14ac:dyDescent="0.3">
      <c r="A2" s="6" t="s">
        <v>443</v>
      </c>
    </row>
    <row r="4" spans="1:4" x14ac:dyDescent="0.3">
      <c r="A4" s="1" t="s">
        <v>235</v>
      </c>
      <c r="B4" s="1" t="s">
        <v>444</v>
      </c>
      <c r="C4" s="1" t="s">
        <v>239</v>
      </c>
      <c r="D4" s="1" t="s">
        <v>139</v>
      </c>
    </row>
    <row r="5" spans="1:4" ht="28.8" customHeight="1" x14ac:dyDescent="0.3">
      <c r="A5" s="2" t="s">
        <v>445</v>
      </c>
      <c r="B5" s="2" t="s">
        <v>446</v>
      </c>
      <c r="C5" s="2" t="s">
        <v>447</v>
      </c>
      <c r="D5" s="2">
        <v>3800</v>
      </c>
    </row>
    <row r="6" spans="1:4" ht="28.8" customHeight="1" x14ac:dyDescent="0.3">
      <c r="A6" s="2" t="s">
        <v>448</v>
      </c>
      <c r="B6" s="2" t="s">
        <v>449</v>
      </c>
      <c r="C6" s="2" t="s">
        <v>447</v>
      </c>
      <c r="D6" s="2">
        <v>9000</v>
      </c>
    </row>
    <row r="7" spans="1:4" ht="28.8" customHeight="1" x14ac:dyDescent="0.3">
      <c r="A7" s="2" t="s">
        <v>450</v>
      </c>
      <c r="B7" s="2" t="s">
        <v>451</v>
      </c>
      <c r="C7" s="2" t="s">
        <v>447</v>
      </c>
      <c r="D7" s="2">
        <v>8100</v>
      </c>
    </row>
    <row r="8" spans="1:4" ht="43.2" customHeight="1" x14ac:dyDescent="0.3">
      <c r="A8" s="2" t="s">
        <v>452</v>
      </c>
      <c r="B8" s="2" t="s">
        <v>453</v>
      </c>
      <c r="C8" s="2" t="s">
        <v>447</v>
      </c>
      <c r="D8" s="2">
        <v>11560</v>
      </c>
    </row>
    <row r="9" spans="1:4" x14ac:dyDescent="0.3">
      <c r="A9" s="2" t="s">
        <v>454</v>
      </c>
      <c r="B9" s="2" t="s">
        <v>455</v>
      </c>
      <c r="C9" s="2" t="s">
        <v>447</v>
      </c>
      <c r="D9" s="2">
        <v>1070</v>
      </c>
    </row>
    <row r="10" spans="1:4" ht="28.8" customHeight="1" x14ac:dyDescent="0.3">
      <c r="A10" s="2" t="s">
        <v>456</v>
      </c>
      <c r="B10" s="2" t="s">
        <v>457</v>
      </c>
      <c r="C10" s="2" t="s">
        <v>447</v>
      </c>
      <c r="D10" s="2">
        <v>21290</v>
      </c>
    </row>
    <row r="11" spans="1:4" x14ac:dyDescent="0.3">
      <c r="A11" s="2" t="s">
        <v>458</v>
      </c>
      <c r="B11" s="2" t="s">
        <v>459</v>
      </c>
      <c r="C11" s="2" t="s">
        <v>447</v>
      </c>
      <c r="D11" s="2">
        <v>9580</v>
      </c>
    </row>
    <row r="12" spans="1:4" x14ac:dyDescent="0.3">
      <c r="A12" s="2" t="s">
        <v>460</v>
      </c>
      <c r="B12" s="2" t="s">
        <v>461</v>
      </c>
      <c r="C12" s="2" t="s">
        <v>462</v>
      </c>
      <c r="D12" s="2">
        <v>90380</v>
      </c>
    </row>
    <row r="13" spans="1:4" x14ac:dyDescent="0.3">
      <c r="A13" s="2" t="s">
        <v>463</v>
      </c>
      <c r="B13" s="2" t="s">
        <v>464</v>
      </c>
      <c r="C13" s="2" t="s">
        <v>462</v>
      </c>
      <c r="D13" s="2">
        <v>40860</v>
      </c>
    </row>
    <row r="14" spans="1:4" ht="43.2" customHeight="1" x14ac:dyDescent="0.3">
      <c r="A14" s="2" t="s">
        <v>465</v>
      </c>
      <c r="B14" s="2" t="s">
        <v>466</v>
      </c>
      <c r="C14" s="2" t="s">
        <v>467</v>
      </c>
      <c r="D14" s="2">
        <v>58480</v>
      </c>
    </row>
    <row r="15" spans="1:4" ht="28.8" customHeight="1" x14ac:dyDescent="0.3">
      <c r="A15" s="2" t="s">
        <v>468</v>
      </c>
      <c r="B15" s="2" t="s">
        <v>469</v>
      </c>
      <c r="C15" s="2" t="s">
        <v>462</v>
      </c>
      <c r="D15" s="2">
        <v>110000</v>
      </c>
    </row>
    <row r="16" spans="1:4" ht="28.8" customHeight="1" x14ac:dyDescent="0.3">
      <c r="A16" s="2" t="s">
        <v>470</v>
      </c>
      <c r="B16" s="2" t="s">
        <v>471</v>
      </c>
      <c r="C16" s="2" t="s">
        <v>472</v>
      </c>
      <c r="D16" s="2">
        <v>58480</v>
      </c>
    </row>
    <row r="17" spans="1:4" ht="28.8" customHeight="1" x14ac:dyDescent="0.3">
      <c r="A17" s="2" t="s">
        <v>473</v>
      </c>
      <c r="B17" s="2" t="s">
        <v>474</v>
      </c>
      <c r="C17" s="2" t="s">
        <v>475</v>
      </c>
      <c r="D17" s="2">
        <v>23920</v>
      </c>
    </row>
    <row r="18" spans="1:4" ht="28.8" customHeight="1" x14ac:dyDescent="0.3">
      <c r="A18" s="2" t="s">
        <v>476</v>
      </c>
      <c r="B18" s="2" t="s">
        <v>477</v>
      </c>
      <c r="C18" s="2" t="s">
        <v>34</v>
      </c>
      <c r="D18" s="2">
        <v>210</v>
      </c>
    </row>
    <row r="19" spans="1:4" ht="28.8" customHeight="1" x14ac:dyDescent="0.3">
      <c r="A19" s="2" t="s">
        <v>478</v>
      </c>
      <c r="B19" s="2" t="s">
        <v>479</v>
      </c>
      <c r="C19" s="2" t="s">
        <v>34</v>
      </c>
      <c r="D19" s="2">
        <v>210</v>
      </c>
    </row>
    <row r="20" spans="1:4" ht="28.8" customHeight="1" x14ac:dyDescent="0.3">
      <c r="A20" s="2" t="s">
        <v>480</v>
      </c>
      <c r="B20" s="2" t="s">
        <v>481</v>
      </c>
      <c r="C20" s="2" t="s">
        <v>34</v>
      </c>
      <c r="D20" s="2">
        <v>220</v>
      </c>
    </row>
    <row r="21" spans="1:4" x14ac:dyDescent="0.3">
      <c r="A21" s="2" t="s">
        <v>482</v>
      </c>
      <c r="B21" s="2" t="s">
        <v>483</v>
      </c>
      <c r="C21" s="2" t="s">
        <v>34</v>
      </c>
      <c r="D21" s="2">
        <v>430</v>
      </c>
    </row>
    <row r="22" spans="1:4" ht="28.8" customHeight="1" x14ac:dyDescent="0.3">
      <c r="A22" s="2" t="s">
        <v>484</v>
      </c>
      <c r="B22" s="2" t="s">
        <v>485</v>
      </c>
      <c r="C22" s="2" t="s">
        <v>34</v>
      </c>
      <c r="D22" s="2">
        <v>130</v>
      </c>
    </row>
    <row r="23" spans="1:4" ht="43.2" customHeight="1" x14ac:dyDescent="0.3">
      <c r="A23" s="2" t="s">
        <v>486</v>
      </c>
      <c r="B23" s="2" t="s">
        <v>487</v>
      </c>
      <c r="C23" s="2" t="s">
        <v>488</v>
      </c>
      <c r="D23" s="2">
        <v>1640</v>
      </c>
    </row>
    <row r="24" spans="1:4" ht="28.8" customHeight="1" x14ac:dyDescent="0.3">
      <c r="A24" s="2" t="s">
        <v>489</v>
      </c>
      <c r="B24" s="2" t="s">
        <v>490</v>
      </c>
      <c r="C24" s="2" t="s">
        <v>34</v>
      </c>
      <c r="D24" s="2">
        <v>220</v>
      </c>
    </row>
    <row r="25" spans="1:4" ht="28.8" customHeight="1" x14ac:dyDescent="0.3">
      <c r="A25" s="2" t="s">
        <v>491</v>
      </c>
      <c r="B25" s="2" t="s">
        <v>492</v>
      </c>
      <c r="C25" s="2" t="s">
        <v>34</v>
      </c>
      <c r="D25" s="2">
        <v>320</v>
      </c>
    </row>
    <row r="26" spans="1:4" ht="28.8" customHeight="1" x14ac:dyDescent="0.3">
      <c r="A26" s="2" t="s">
        <v>493</v>
      </c>
      <c r="B26" s="2" t="s">
        <v>494</v>
      </c>
      <c r="C26" s="2" t="s">
        <v>34</v>
      </c>
      <c r="D26" s="2">
        <v>320</v>
      </c>
    </row>
    <row r="27" spans="1:4" ht="43.2" customHeight="1" x14ac:dyDescent="0.3">
      <c r="A27" s="2" t="s">
        <v>495</v>
      </c>
      <c r="B27" s="2" t="s">
        <v>496</v>
      </c>
      <c r="C27" s="2" t="s">
        <v>34</v>
      </c>
      <c r="D27" s="2">
        <v>560</v>
      </c>
    </row>
    <row r="28" spans="1:4" ht="43.2" customHeight="1" x14ac:dyDescent="0.3">
      <c r="A28" s="2" t="s">
        <v>497</v>
      </c>
      <c r="B28" s="2" t="s">
        <v>498</v>
      </c>
      <c r="C28" s="2" t="s">
        <v>34</v>
      </c>
      <c r="D28" s="2">
        <v>580</v>
      </c>
    </row>
    <row r="29" spans="1:4" ht="28.8" customHeight="1" x14ac:dyDescent="0.3">
      <c r="A29" s="2" t="s">
        <v>499</v>
      </c>
      <c r="B29" s="2" t="s">
        <v>500</v>
      </c>
      <c r="C29" s="2" t="s">
        <v>34</v>
      </c>
      <c r="D29" s="2">
        <v>11890</v>
      </c>
    </row>
    <row r="30" spans="1:4" ht="28.8" customHeight="1" x14ac:dyDescent="0.3">
      <c r="A30" s="2" t="s">
        <v>501</v>
      </c>
      <c r="B30" s="2" t="s">
        <v>502</v>
      </c>
      <c r="C30" s="2" t="s">
        <v>34</v>
      </c>
      <c r="D30" s="2">
        <v>160</v>
      </c>
    </row>
    <row r="31" spans="1:4" x14ac:dyDescent="0.3">
      <c r="A31" s="2" t="s">
        <v>503</v>
      </c>
      <c r="B31" s="2" t="s">
        <v>504</v>
      </c>
      <c r="C31" s="2" t="s">
        <v>505</v>
      </c>
      <c r="D31" s="2">
        <v>75000</v>
      </c>
    </row>
    <row r="32" spans="1:4" ht="28.8" customHeight="1" x14ac:dyDescent="0.3">
      <c r="A32" s="2" t="s">
        <v>506</v>
      </c>
      <c r="B32" s="2" t="s">
        <v>507</v>
      </c>
      <c r="C32" s="2" t="s">
        <v>505</v>
      </c>
      <c r="D32" s="2">
        <v>60000</v>
      </c>
    </row>
    <row r="33" spans="1:4" x14ac:dyDescent="0.3">
      <c r="A33" s="2" t="s">
        <v>508</v>
      </c>
      <c r="B33" s="2" t="s">
        <v>509</v>
      </c>
      <c r="C33" s="2" t="s">
        <v>505</v>
      </c>
      <c r="D33" s="2">
        <v>50000</v>
      </c>
    </row>
    <row r="34" spans="1:4" ht="28.8" customHeight="1" x14ac:dyDescent="0.3">
      <c r="A34" s="2" t="s">
        <v>510</v>
      </c>
      <c r="B34" s="2" t="s">
        <v>511</v>
      </c>
      <c r="C34" s="2" t="s">
        <v>512</v>
      </c>
      <c r="D34" s="2">
        <v>770890</v>
      </c>
    </row>
    <row r="35" spans="1:4" x14ac:dyDescent="0.3">
      <c r="A35" s="2" t="s">
        <v>513</v>
      </c>
      <c r="B35" s="2" t="s">
        <v>514</v>
      </c>
      <c r="C35" s="2" t="s">
        <v>515</v>
      </c>
      <c r="D35" s="2">
        <v>2259510</v>
      </c>
    </row>
    <row r="36" spans="1:4" x14ac:dyDescent="0.3">
      <c r="A36" s="2" t="s">
        <v>516</v>
      </c>
      <c r="B36" s="2" t="s">
        <v>517</v>
      </c>
      <c r="C36" s="2" t="s">
        <v>515</v>
      </c>
      <c r="D36" s="2">
        <v>3721550</v>
      </c>
    </row>
    <row r="37" spans="1:4" ht="28.8" customHeight="1" x14ac:dyDescent="0.3">
      <c r="A37" s="2" t="s">
        <v>518</v>
      </c>
      <c r="B37" s="2" t="s">
        <v>519</v>
      </c>
      <c r="C37" s="2" t="s">
        <v>512</v>
      </c>
      <c r="D37" s="2">
        <v>372160</v>
      </c>
    </row>
    <row r="38" spans="1:4" ht="28.8" customHeight="1" x14ac:dyDescent="0.3">
      <c r="A38" s="2" t="s">
        <v>520</v>
      </c>
      <c r="B38" s="2" t="s">
        <v>521</v>
      </c>
      <c r="C38" s="2" t="s">
        <v>522</v>
      </c>
      <c r="D38" s="2">
        <v>7200000</v>
      </c>
    </row>
    <row r="39" spans="1:4" ht="28.8" customHeight="1" x14ac:dyDescent="0.3">
      <c r="A39" s="2" t="s">
        <v>523</v>
      </c>
      <c r="B39" s="2" t="s">
        <v>524</v>
      </c>
      <c r="C39" s="2" t="s">
        <v>522</v>
      </c>
      <c r="D39" s="2">
        <v>10500000</v>
      </c>
    </row>
    <row r="40" spans="1:4" ht="28.8" customHeight="1" x14ac:dyDescent="0.3">
      <c r="A40" s="2" t="s">
        <v>525</v>
      </c>
      <c r="B40" s="2" t="s">
        <v>526</v>
      </c>
      <c r="C40" s="2" t="s">
        <v>527</v>
      </c>
      <c r="D40" s="2">
        <v>125000</v>
      </c>
    </row>
    <row r="41" spans="1:4" ht="28.8" customHeight="1" x14ac:dyDescent="0.3">
      <c r="A41" s="2" t="s">
        <v>528</v>
      </c>
      <c r="B41" s="2" t="s">
        <v>529</v>
      </c>
      <c r="C41" s="2" t="s">
        <v>530</v>
      </c>
      <c r="D41" s="2">
        <v>10000</v>
      </c>
    </row>
    <row r="42" spans="1:4" x14ac:dyDescent="0.3">
      <c r="A42" s="2" t="s">
        <v>531</v>
      </c>
      <c r="B42" s="2" t="s">
        <v>532</v>
      </c>
      <c r="C42" s="2" t="s">
        <v>34</v>
      </c>
      <c r="D42" s="2">
        <v>22</v>
      </c>
    </row>
    <row r="43" spans="1:4" x14ac:dyDescent="0.3">
      <c r="A43" s="2" t="s">
        <v>533</v>
      </c>
      <c r="B43" s="2" t="s">
        <v>534</v>
      </c>
      <c r="C43" s="2" t="s">
        <v>535</v>
      </c>
      <c r="D43" s="2">
        <v>500000</v>
      </c>
    </row>
    <row r="49" spans="1:1" x14ac:dyDescent="0.3">
      <c r="A49" s="8" t="s">
        <v>536</v>
      </c>
    </row>
    <row r="50" spans="1:1" x14ac:dyDescent="0.3">
      <c r="A50" s="7" t="s">
        <v>537</v>
      </c>
    </row>
    <row r="51" spans="1:1" x14ac:dyDescent="0.3">
      <c r="A51" s="7" t="s">
        <v>538</v>
      </c>
    </row>
    <row r="52" spans="1:1" x14ac:dyDescent="0.3">
      <c r="A52" s="7" t="s">
        <v>539</v>
      </c>
    </row>
    <row r="53" spans="1:1" x14ac:dyDescent="0.3">
      <c r="A53" s="7" t="s">
        <v>540</v>
      </c>
    </row>
    <row r="54" spans="1:1" x14ac:dyDescent="0.3">
      <c r="A54" s="7" t="s">
        <v>541</v>
      </c>
    </row>
  </sheetData>
  <pageMargins left="0.25" right="0.25" top="0.5" bottom="0.5" header="0.5" footer="0.5"/>
  <pageSetup fitToHeight="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2"/>
  <sheetViews>
    <sheetView showGridLines="0" workbookViewId="0">
      <pane ySplit="4" topLeftCell="A5" activePane="bottomLeft" state="frozen"/>
      <selection pane="bottomLeft" activeCell="B12" sqref="B12"/>
    </sheetView>
  </sheetViews>
  <sheetFormatPr defaultRowHeight="14.4" x14ac:dyDescent="0.3"/>
  <cols>
    <col min="1" max="1" width="14" customWidth="1"/>
    <col min="2" max="2" width="108.5546875" customWidth="1"/>
  </cols>
  <sheetData>
    <row r="1" spans="1:2" ht="18" customHeight="1" x14ac:dyDescent="0.3">
      <c r="A1" s="5" t="s">
        <v>542</v>
      </c>
    </row>
    <row r="2" spans="1:2" x14ac:dyDescent="0.3">
      <c r="A2" s="6" t="s">
        <v>543</v>
      </c>
    </row>
    <row r="4" spans="1:2" x14ac:dyDescent="0.3">
      <c r="A4" s="1" t="s">
        <v>544</v>
      </c>
      <c r="B4" s="1" t="s">
        <v>545</v>
      </c>
    </row>
    <row r="5" spans="1:2" ht="28.8" customHeight="1" x14ac:dyDescent="0.3">
      <c r="A5" s="2" t="s">
        <v>546</v>
      </c>
      <c r="B5" s="2" t="s">
        <v>547</v>
      </c>
    </row>
    <row r="6" spans="1:2" ht="28.8" customHeight="1" x14ac:dyDescent="0.3">
      <c r="A6" s="2" t="s">
        <v>548</v>
      </c>
      <c r="B6" s="2" t="s">
        <v>549</v>
      </c>
    </row>
    <row r="7" spans="1:2" ht="28.8" customHeight="1" x14ac:dyDescent="0.3">
      <c r="A7" s="2" t="s">
        <v>550</v>
      </c>
      <c r="B7" s="2" t="s">
        <v>551</v>
      </c>
    </row>
    <row r="8" spans="1:2" ht="28.8" customHeight="1" x14ac:dyDescent="0.3">
      <c r="A8" s="2" t="s">
        <v>552</v>
      </c>
      <c r="B8" s="2" t="s">
        <v>553</v>
      </c>
    </row>
    <row r="9" spans="1:2" x14ac:dyDescent="0.3">
      <c r="A9" s="2" t="s">
        <v>554</v>
      </c>
      <c r="B9" s="2" t="s">
        <v>555</v>
      </c>
    </row>
    <row r="10" spans="1:2" ht="28.8" customHeight="1" x14ac:dyDescent="0.3">
      <c r="A10" s="2" t="s">
        <v>556</v>
      </c>
      <c r="B10" s="2" t="s">
        <v>557</v>
      </c>
    </row>
    <row r="11" spans="1:2" ht="28.8" customHeight="1" x14ac:dyDescent="0.3">
      <c r="A11" s="2" t="s">
        <v>558</v>
      </c>
      <c r="B11" s="2" t="s">
        <v>559</v>
      </c>
    </row>
    <row r="12" spans="1:2" ht="28.8" customHeight="1" x14ac:dyDescent="0.3">
      <c r="A12" s="2" t="s">
        <v>560</v>
      </c>
      <c r="B12" s="2" t="s">
        <v>561</v>
      </c>
    </row>
    <row r="13" spans="1:2" x14ac:dyDescent="0.3">
      <c r="A13" s="2" t="s">
        <v>562</v>
      </c>
      <c r="B13" s="2" t="s">
        <v>563</v>
      </c>
    </row>
    <row r="14" spans="1:2" x14ac:dyDescent="0.3">
      <c r="A14" s="2" t="s">
        <v>564</v>
      </c>
      <c r="B14" s="2" t="s">
        <v>565</v>
      </c>
    </row>
    <row r="15" spans="1:2" x14ac:dyDescent="0.3">
      <c r="A15" s="2" t="s">
        <v>566</v>
      </c>
      <c r="B15" s="2" t="s">
        <v>567</v>
      </c>
    </row>
    <row r="16" spans="1:2" x14ac:dyDescent="0.3">
      <c r="A16" s="2" t="s">
        <v>568</v>
      </c>
      <c r="B16" s="2" t="s">
        <v>569</v>
      </c>
    </row>
    <row r="17" spans="1:2" x14ac:dyDescent="0.3">
      <c r="A17" s="2" t="s">
        <v>570</v>
      </c>
      <c r="B17" s="2" t="s">
        <v>571</v>
      </c>
    </row>
    <row r="18" spans="1:2" x14ac:dyDescent="0.3">
      <c r="A18" s="2" t="s">
        <v>572</v>
      </c>
      <c r="B18" s="2" t="s">
        <v>573</v>
      </c>
    </row>
    <row r="19" spans="1:2" ht="28.8" customHeight="1" x14ac:dyDescent="0.3">
      <c r="A19" s="2" t="s">
        <v>574</v>
      </c>
      <c r="B19" s="2" t="s">
        <v>575</v>
      </c>
    </row>
    <row r="20" spans="1:2" x14ac:dyDescent="0.3">
      <c r="A20" s="2" t="s">
        <v>576</v>
      </c>
      <c r="B20" s="2" t="s">
        <v>577</v>
      </c>
    </row>
    <row r="21" spans="1:2" x14ac:dyDescent="0.3">
      <c r="A21" s="2" t="s">
        <v>578</v>
      </c>
      <c r="B21" s="2" t="s">
        <v>579</v>
      </c>
    </row>
    <row r="22" spans="1:2" x14ac:dyDescent="0.3">
      <c r="A22" s="2" t="s">
        <v>580</v>
      </c>
      <c r="B22" s="2" t="s">
        <v>581</v>
      </c>
    </row>
  </sheetData>
  <pageMargins left="0.25" right="0.25" top="0.5" bottom="0.5" header="0.5" footer="0.5"/>
  <pageSetup fitToHeight="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2"/>
  <sheetViews>
    <sheetView showGridLines="0" workbookViewId="0">
      <pane ySplit="4" topLeftCell="A5" activePane="bottomLeft" state="frozen"/>
      <selection pane="bottomLeft" activeCell="E29" sqref="E29"/>
    </sheetView>
  </sheetViews>
  <sheetFormatPr defaultRowHeight="14.4" x14ac:dyDescent="0.3"/>
  <cols>
    <col min="1" max="1" width="7.44140625" customWidth="1"/>
    <col min="2" max="2" width="39.33203125" customWidth="1"/>
    <col min="3" max="3" width="9.77734375" customWidth="1"/>
    <col min="4" max="4" width="5.6640625" customWidth="1"/>
    <col min="5" max="6" width="15.33203125" customWidth="1"/>
    <col min="7" max="7" width="12.109375" customWidth="1"/>
    <col min="8" max="8" width="11" customWidth="1"/>
    <col min="9" max="9" width="7.5546875" customWidth="1"/>
    <col min="10" max="10" width="9.5546875" customWidth="1"/>
  </cols>
  <sheetData>
    <row r="1" spans="1:10" ht="18" customHeight="1" x14ac:dyDescent="0.3">
      <c r="A1" s="5" t="s">
        <v>582</v>
      </c>
    </row>
    <row r="2" spans="1:10" x14ac:dyDescent="0.3">
      <c r="A2" s="6" t="s">
        <v>583</v>
      </c>
    </row>
    <row r="4" spans="1:10" ht="57.6" customHeight="1" x14ac:dyDescent="0.3">
      <c r="A4" s="1" t="s">
        <v>584</v>
      </c>
      <c r="B4" s="1" t="s">
        <v>316</v>
      </c>
      <c r="C4" s="1" t="s">
        <v>4</v>
      </c>
      <c r="D4" s="1" t="s">
        <v>585</v>
      </c>
      <c r="E4" s="1" t="s">
        <v>586</v>
      </c>
      <c r="F4" s="1" t="s">
        <v>587</v>
      </c>
      <c r="G4" s="24" t="s">
        <v>588</v>
      </c>
      <c r="H4" s="1" t="s">
        <v>589</v>
      </c>
      <c r="I4" s="1" t="s">
        <v>590</v>
      </c>
      <c r="J4" s="1" t="s">
        <v>591</v>
      </c>
    </row>
    <row r="5" spans="1:10" x14ac:dyDescent="0.3">
      <c r="A5" s="2" t="s">
        <v>546</v>
      </c>
      <c r="B5" s="2" t="s">
        <v>592</v>
      </c>
      <c r="C5" s="2" t="s">
        <v>593</v>
      </c>
      <c r="D5" s="2">
        <v>100</v>
      </c>
      <c r="E5" s="4">
        <v>4750</v>
      </c>
      <c r="F5" s="4">
        <v>4750</v>
      </c>
      <c r="G5" s="4">
        <v>4750</v>
      </c>
      <c r="H5" s="4">
        <v>8</v>
      </c>
      <c r="I5" s="2"/>
      <c r="J5" s="2"/>
    </row>
    <row r="6" spans="1:10" x14ac:dyDescent="0.3">
      <c r="A6" s="2" t="s">
        <v>548</v>
      </c>
      <c r="B6" s="2" t="s">
        <v>594</v>
      </c>
      <c r="C6" s="2" t="s">
        <v>595</v>
      </c>
      <c r="D6" s="2">
        <v>100</v>
      </c>
      <c r="E6" s="4">
        <v>523.45000000000005</v>
      </c>
      <c r="F6" s="4">
        <v>523.45000000000005</v>
      </c>
      <c r="G6" s="4">
        <v>523.45000000000005</v>
      </c>
      <c r="H6" s="4">
        <v>14.5</v>
      </c>
      <c r="I6" s="2"/>
      <c r="J6" s="2"/>
    </row>
    <row r="7" spans="1:10" ht="28.8" x14ac:dyDescent="0.3">
      <c r="A7" s="2" t="s">
        <v>596</v>
      </c>
      <c r="B7" s="2" t="s">
        <v>597</v>
      </c>
      <c r="C7" s="2" t="s">
        <v>595</v>
      </c>
      <c r="D7" s="2">
        <v>50</v>
      </c>
      <c r="E7" s="4">
        <v>5430</v>
      </c>
      <c r="F7" s="4">
        <v>2715</v>
      </c>
      <c r="G7" s="4">
        <v>5530</v>
      </c>
      <c r="H7" s="4">
        <v>19.5</v>
      </c>
      <c r="I7" s="2"/>
      <c r="J7" s="2"/>
    </row>
    <row r="8" spans="1:10" ht="28.8" x14ac:dyDescent="0.3">
      <c r="A8" s="2" t="s">
        <v>598</v>
      </c>
      <c r="B8" s="2" t="s">
        <v>599</v>
      </c>
      <c r="C8" s="2" t="s">
        <v>595</v>
      </c>
      <c r="D8" s="2">
        <v>50</v>
      </c>
      <c r="E8" s="4">
        <v>5630</v>
      </c>
      <c r="F8" s="4">
        <v>2815</v>
      </c>
      <c r="G8" s="2"/>
      <c r="H8" s="2"/>
      <c r="I8" s="2"/>
      <c r="J8" s="2"/>
    </row>
    <row r="9" spans="1:10" x14ac:dyDescent="0.3">
      <c r="A9" s="2" t="s">
        <v>600</v>
      </c>
      <c r="B9" s="2" t="s">
        <v>601</v>
      </c>
      <c r="C9" s="2" t="s">
        <v>602</v>
      </c>
      <c r="D9" s="2">
        <v>75</v>
      </c>
      <c r="E9" s="4">
        <v>1500</v>
      </c>
      <c r="F9" s="4">
        <v>1125</v>
      </c>
      <c r="G9" s="4">
        <v>1375</v>
      </c>
      <c r="H9" s="4">
        <v>6.5</v>
      </c>
      <c r="I9" s="2"/>
      <c r="J9" s="2"/>
    </row>
    <row r="10" spans="1:10" x14ac:dyDescent="0.3">
      <c r="A10" s="2" t="s">
        <v>603</v>
      </c>
      <c r="B10" s="2" t="s">
        <v>604</v>
      </c>
      <c r="C10" s="2" t="s">
        <v>602</v>
      </c>
      <c r="D10" s="2">
        <v>25</v>
      </c>
      <c r="E10" s="4">
        <v>1000</v>
      </c>
      <c r="F10" s="4">
        <v>250</v>
      </c>
      <c r="G10" s="2"/>
      <c r="H10" s="2"/>
      <c r="I10" s="2"/>
      <c r="J10" s="2"/>
    </row>
    <row r="11" spans="1:10" x14ac:dyDescent="0.3">
      <c r="A11" s="2" t="s">
        <v>558</v>
      </c>
      <c r="B11" s="2" t="s">
        <v>605</v>
      </c>
      <c r="C11" s="2" t="s">
        <v>602</v>
      </c>
      <c r="D11" s="2">
        <v>75</v>
      </c>
      <c r="E11" s="4">
        <v>1250</v>
      </c>
      <c r="F11" s="4">
        <v>937.5</v>
      </c>
      <c r="G11" s="4">
        <v>1260</v>
      </c>
      <c r="H11" s="4">
        <v>3</v>
      </c>
      <c r="I11" s="2"/>
      <c r="J11" s="2"/>
    </row>
    <row r="12" spans="1:10" x14ac:dyDescent="0.3">
      <c r="A12" s="2" t="s">
        <v>560</v>
      </c>
      <c r="B12" s="2" t="s">
        <v>606</v>
      </c>
      <c r="C12" s="2" t="s">
        <v>602</v>
      </c>
      <c r="D12" s="2">
        <v>25</v>
      </c>
      <c r="E12" s="4">
        <v>1290</v>
      </c>
      <c r="F12" s="4">
        <v>322.5</v>
      </c>
      <c r="G12" s="2"/>
      <c r="H12" s="2"/>
      <c r="I12" s="2"/>
      <c r="J12" s="2"/>
    </row>
    <row r="13" spans="1:10" x14ac:dyDescent="0.3">
      <c r="A13" s="2" t="s">
        <v>607</v>
      </c>
      <c r="B13" s="2" t="s">
        <v>608</v>
      </c>
      <c r="C13" s="2" t="s">
        <v>20</v>
      </c>
      <c r="D13" s="2">
        <v>50</v>
      </c>
      <c r="E13" s="4">
        <v>380</v>
      </c>
      <c r="F13" s="4">
        <v>190</v>
      </c>
      <c r="G13" s="4">
        <v>658.07</v>
      </c>
      <c r="H13" s="4">
        <v>5</v>
      </c>
      <c r="I13" s="2"/>
      <c r="J13" s="2"/>
    </row>
    <row r="14" spans="1:10" x14ac:dyDescent="0.3">
      <c r="A14" s="2" t="s">
        <v>609</v>
      </c>
      <c r="B14" s="2" t="s">
        <v>610</v>
      </c>
      <c r="C14" s="2" t="s">
        <v>20</v>
      </c>
      <c r="D14" s="2">
        <v>20</v>
      </c>
      <c r="E14" s="4">
        <v>352</v>
      </c>
      <c r="F14" s="4">
        <v>70.400000000000006</v>
      </c>
      <c r="G14" s="2"/>
      <c r="H14" s="2"/>
      <c r="I14" s="2"/>
      <c r="J14" s="2"/>
    </row>
    <row r="15" spans="1:10" x14ac:dyDescent="0.3">
      <c r="A15" s="2" t="s">
        <v>611</v>
      </c>
      <c r="B15" s="2" t="s">
        <v>612</v>
      </c>
      <c r="C15" s="2" t="s">
        <v>20</v>
      </c>
      <c r="D15" s="2">
        <v>10</v>
      </c>
      <c r="E15" s="4">
        <v>376.74</v>
      </c>
      <c r="F15" s="4">
        <v>37.67</v>
      </c>
      <c r="G15" s="2"/>
      <c r="H15" s="2"/>
      <c r="I15" s="2"/>
      <c r="J15" s="2"/>
    </row>
    <row r="16" spans="1:10" x14ac:dyDescent="0.3">
      <c r="A16" s="2" t="s">
        <v>613</v>
      </c>
      <c r="B16" s="2" t="s">
        <v>614</v>
      </c>
      <c r="C16" s="2" t="s">
        <v>20</v>
      </c>
      <c r="D16" s="2">
        <v>20</v>
      </c>
      <c r="E16" s="4">
        <v>1800</v>
      </c>
      <c r="F16" s="4">
        <v>360</v>
      </c>
      <c r="G16" s="2"/>
      <c r="H16" s="2"/>
      <c r="I16" s="2"/>
      <c r="J16" s="2"/>
    </row>
    <row r="17" spans="1:10" x14ac:dyDescent="0.3">
      <c r="A17" s="2" t="s">
        <v>615</v>
      </c>
      <c r="B17" s="2" t="s">
        <v>616</v>
      </c>
      <c r="C17" s="2" t="s">
        <v>180</v>
      </c>
      <c r="D17" s="4">
        <v>33.33</v>
      </c>
      <c r="E17" s="4">
        <v>178</v>
      </c>
      <c r="F17" s="4">
        <v>59.33</v>
      </c>
      <c r="G17" s="4">
        <v>167.67</v>
      </c>
      <c r="H17" s="4">
        <v>3</v>
      </c>
      <c r="I17" s="2"/>
      <c r="J17" s="2"/>
    </row>
    <row r="18" spans="1:10" x14ac:dyDescent="0.3">
      <c r="A18" s="2" t="s">
        <v>617</v>
      </c>
      <c r="B18" s="2" t="s">
        <v>618</v>
      </c>
      <c r="C18" s="2" t="s">
        <v>180</v>
      </c>
      <c r="D18" s="4">
        <v>33.33</v>
      </c>
      <c r="E18" s="4">
        <v>38</v>
      </c>
      <c r="F18" s="4">
        <v>12.67</v>
      </c>
      <c r="G18" s="2"/>
      <c r="H18" s="2"/>
      <c r="I18" s="2"/>
      <c r="J18" s="2"/>
    </row>
    <row r="19" spans="1:10" x14ac:dyDescent="0.3">
      <c r="A19" s="2" t="s">
        <v>619</v>
      </c>
      <c r="B19" s="2" t="s">
        <v>620</v>
      </c>
      <c r="C19" s="2" t="s">
        <v>180</v>
      </c>
      <c r="D19" s="4">
        <v>33.33</v>
      </c>
      <c r="E19" s="4">
        <v>287</v>
      </c>
      <c r="F19" s="4">
        <v>95.66</v>
      </c>
      <c r="G19" s="2"/>
      <c r="H19" s="2"/>
      <c r="I19" s="2"/>
      <c r="J19" s="2"/>
    </row>
    <row r="20" spans="1:10" ht="28.8" customHeight="1" x14ac:dyDescent="0.3">
      <c r="A20" s="2" t="s">
        <v>566</v>
      </c>
      <c r="B20" s="2" t="s">
        <v>621</v>
      </c>
      <c r="C20" s="2" t="s">
        <v>20</v>
      </c>
      <c r="D20" s="2">
        <v>30</v>
      </c>
      <c r="E20" s="4">
        <v>2120</v>
      </c>
      <c r="F20" s="4">
        <v>636</v>
      </c>
      <c r="G20" s="4">
        <v>2601</v>
      </c>
      <c r="H20" s="4">
        <v>7</v>
      </c>
      <c r="I20" s="2"/>
      <c r="J20" s="2"/>
    </row>
    <row r="21" spans="1:10" ht="28.8" x14ac:dyDescent="0.3">
      <c r="A21" s="2" t="s">
        <v>568</v>
      </c>
      <c r="B21" s="2" t="s">
        <v>622</v>
      </c>
      <c r="C21" s="2" t="s">
        <v>20</v>
      </c>
      <c r="D21" s="2">
        <v>15</v>
      </c>
      <c r="E21" s="4">
        <v>1750</v>
      </c>
      <c r="F21" s="4">
        <v>262.5</v>
      </c>
      <c r="G21" s="2"/>
      <c r="H21" s="2"/>
      <c r="I21" s="2"/>
      <c r="J21" s="2"/>
    </row>
    <row r="22" spans="1:10" x14ac:dyDescent="0.3">
      <c r="A22" s="2" t="s">
        <v>570</v>
      </c>
      <c r="B22" s="2" t="s">
        <v>623</v>
      </c>
      <c r="C22" s="2" t="s">
        <v>20</v>
      </c>
      <c r="D22" s="2">
        <v>20</v>
      </c>
      <c r="E22" s="4">
        <v>4400</v>
      </c>
      <c r="F22" s="4">
        <v>880</v>
      </c>
      <c r="G22" s="2"/>
      <c r="H22" s="2"/>
      <c r="I22" s="2"/>
      <c r="J22" s="2"/>
    </row>
    <row r="23" spans="1:10" x14ac:dyDescent="0.3">
      <c r="A23" s="2" t="s">
        <v>572</v>
      </c>
      <c r="B23" s="2" t="s">
        <v>624</v>
      </c>
      <c r="C23" s="2" t="s">
        <v>20</v>
      </c>
      <c r="D23" s="2">
        <v>35</v>
      </c>
      <c r="E23" s="4">
        <v>2350</v>
      </c>
      <c r="F23" s="4">
        <v>822.5</v>
      </c>
      <c r="G23" s="2"/>
      <c r="H23" s="2"/>
      <c r="I23" s="2"/>
      <c r="J23" s="2"/>
    </row>
    <row r="24" spans="1:10" x14ac:dyDescent="0.3">
      <c r="A24" s="2" t="s">
        <v>625</v>
      </c>
      <c r="B24" s="2" t="s">
        <v>626</v>
      </c>
      <c r="C24" s="2" t="s">
        <v>13</v>
      </c>
      <c r="D24" s="2">
        <v>10</v>
      </c>
      <c r="E24" s="4">
        <v>110</v>
      </c>
      <c r="F24" s="4">
        <v>11</v>
      </c>
      <c r="G24" s="4">
        <v>350</v>
      </c>
      <c r="H24" s="4">
        <v>2.5</v>
      </c>
      <c r="I24" s="2"/>
      <c r="J24" s="2"/>
    </row>
    <row r="25" spans="1:10" x14ac:dyDescent="0.3">
      <c r="A25" s="2" t="s">
        <v>627</v>
      </c>
      <c r="B25" s="2" t="s">
        <v>628</v>
      </c>
      <c r="C25" s="2" t="s">
        <v>13</v>
      </c>
      <c r="D25" s="2">
        <v>40</v>
      </c>
      <c r="E25" s="4">
        <v>710</v>
      </c>
      <c r="F25" s="4">
        <v>284</v>
      </c>
      <c r="G25" s="2"/>
      <c r="H25" s="2"/>
      <c r="I25" s="2"/>
      <c r="J25" s="2"/>
    </row>
    <row r="26" spans="1:10" x14ac:dyDescent="0.3">
      <c r="A26" s="2" t="s">
        <v>629</v>
      </c>
      <c r="B26" s="2" t="s">
        <v>630</v>
      </c>
      <c r="C26" s="2" t="s">
        <v>13</v>
      </c>
      <c r="D26" s="2">
        <v>20</v>
      </c>
      <c r="E26" s="4">
        <v>80</v>
      </c>
      <c r="F26" s="4">
        <v>16</v>
      </c>
      <c r="G26" s="2"/>
      <c r="H26" s="2"/>
      <c r="I26" s="2"/>
      <c r="J26" s="2"/>
    </row>
    <row r="27" spans="1:10" x14ac:dyDescent="0.3">
      <c r="A27" s="2" t="s">
        <v>631</v>
      </c>
      <c r="B27" s="2" t="s">
        <v>632</v>
      </c>
      <c r="C27" s="2" t="s">
        <v>13</v>
      </c>
      <c r="D27" s="2">
        <v>30</v>
      </c>
      <c r="E27" s="4">
        <v>130</v>
      </c>
      <c r="F27" s="4">
        <v>39</v>
      </c>
      <c r="G27" s="2"/>
      <c r="H27" s="2"/>
      <c r="I27" s="2"/>
      <c r="J27" s="2"/>
    </row>
    <row r="28" spans="1:10" x14ac:dyDescent="0.3">
      <c r="A28" s="2" t="s">
        <v>633</v>
      </c>
      <c r="B28" s="2" t="s">
        <v>634</v>
      </c>
      <c r="C28" s="2" t="s">
        <v>212</v>
      </c>
      <c r="D28" s="2">
        <v>50</v>
      </c>
      <c r="E28" s="4">
        <v>1315</v>
      </c>
      <c r="F28" s="4">
        <v>657.5</v>
      </c>
      <c r="G28" s="4">
        <v>816.4</v>
      </c>
      <c r="H28" s="4">
        <v>4.5</v>
      </c>
      <c r="I28" s="2"/>
      <c r="J28" s="2"/>
    </row>
    <row r="29" spans="1:10" ht="28.8" x14ac:dyDescent="0.3">
      <c r="A29" s="2" t="s">
        <v>635</v>
      </c>
      <c r="B29" s="2" t="s">
        <v>636</v>
      </c>
      <c r="C29" s="2" t="s">
        <v>212</v>
      </c>
      <c r="D29" s="2">
        <v>40</v>
      </c>
      <c r="E29" s="4">
        <v>383</v>
      </c>
      <c r="F29" s="4">
        <v>153.19999999999999</v>
      </c>
      <c r="G29" s="2"/>
      <c r="H29" s="2"/>
      <c r="I29" s="2"/>
      <c r="J29" s="2"/>
    </row>
    <row r="30" spans="1:10" x14ac:dyDescent="0.3">
      <c r="A30" s="2" t="s">
        <v>637</v>
      </c>
      <c r="B30" s="2" t="s">
        <v>638</v>
      </c>
      <c r="C30" s="2" t="s">
        <v>212</v>
      </c>
      <c r="D30" s="2">
        <v>10</v>
      </c>
      <c r="E30" s="4">
        <v>57</v>
      </c>
      <c r="F30" s="4">
        <v>5.7</v>
      </c>
      <c r="G30" s="2"/>
      <c r="H30" s="2"/>
      <c r="I30" s="2"/>
      <c r="J30" s="2"/>
    </row>
    <row r="31" spans="1:10" ht="28.8" x14ac:dyDescent="0.3">
      <c r="A31" s="2" t="s">
        <v>639</v>
      </c>
      <c r="B31" s="2" t="s">
        <v>640</v>
      </c>
      <c r="C31" s="2" t="s">
        <v>212</v>
      </c>
      <c r="D31" s="2">
        <v>100</v>
      </c>
      <c r="E31" s="4">
        <v>29500</v>
      </c>
      <c r="F31" s="4">
        <v>29500</v>
      </c>
      <c r="G31" s="4">
        <v>29500</v>
      </c>
      <c r="H31" s="4">
        <v>2.5</v>
      </c>
      <c r="I31" s="2"/>
      <c r="J31" s="2"/>
    </row>
    <row r="32" spans="1:10" x14ac:dyDescent="0.3">
      <c r="A32" s="2" t="s">
        <v>641</v>
      </c>
      <c r="B32" s="2" t="s">
        <v>642</v>
      </c>
      <c r="C32" s="2" t="s">
        <v>643</v>
      </c>
      <c r="D32" s="2">
        <v>70</v>
      </c>
      <c r="E32" s="4">
        <v>1280</v>
      </c>
      <c r="F32" s="4">
        <v>896</v>
      </c>
      <c r="G32" s="4">
        <v>1861.4</v>
      </c>
      <c r="H32" s="4">
        <v>4</v>
      </c>
      <c r="I32" s="2"/>
      <c r="J32" s="2"/>
    </row>
    <row r="33" spans="1:10" x14ac:dyDescent="0.3">
      <c r="A33" s="2" t="s">
        <v>644</v>
      </c>
      <c r="B33" s="2" t="s">
        <v>645</v>
      </c>
      <c r="C33" s="2" t="s">
        <v>643</v>
      </c>
      <c r="D33" s="2">
        <v>30</v>
      </c>
      <c r="E33" s="4">
        <v>3218</v>
      </c>
      <c r="F33" s="4">
        <v>965.4</v>
      </c>
      <c r="G33" s="2"/>
      <c r="H33" s="2"/>
      <c r="I33" s="2"/>
      <c r="J33" s="2"/>
    </row>
    <row r="34" spans="1:10" x14ac:dyDescent="0.3">
      <c r="A34" s="2" t="s">
        <v>646</v>
      </c>
      <c r="B34" s="2" t="s">
        <v>647</v>
      </c>
      <c r="C34" s="2" t="s">
        <v>212</v>
      </c>
      <c r="D34" s="2">
        <v>50</v>
      </c>
      <c r="E34" s="4">
        <v>981</v>
      </c>
      <c r="F34" s="4">
        <v>490.5</v>
      </c>
      <c r="G34" s="4">
        <v>893</v>
      </c>
      <c r="H34" s="4">
        <v>20</v>
      </c>
      <c r="I34" s="2"/>
      <c r="J34" s="2"/>
    </row>
    <row r="35" spans="1:10" x14ac:dyDescent="0.3">
      <c r="A35" s="2" t="s">
        <v>648</v>
      </c>
      <c r="B35" s="2" t="s">
        <v>649</v>
      </c>
      <c r="C35" s="2" t="s">
        <v>212</v>
      </c>
      <c r="D35" s="2">
        <v>50</v>
      </c>
      <c r="E35" s="4">
        <v>805</v>
      </c>
      <c r="F35" s="4">
        <v>402.5</v>
      </c>
      <c r="G35" s="2"/>
      <c r="H35" s="2"/>
      <c r="I35" s="2"/>
      <c r="J35" s="2"/>
    </row>
    <row r="38" spans="1:10" x14ac:dyDescent="0.3">
      <c r="A38" s="9" t="s">
        <v>650</v>
      </c>
    </row>
    <row r="39" spans="1:10" x14ac:dyDescent="0.3">
      <c r="A39" s="9"/>
    </row>
    <row r="40" spans="1:10" x14ac:dyDescent="0.3">
      <c r="A40" s="8" t="s">
        <v>651</v>
      </c>
    </row>
    <row r="41" spans="1:10" x14ac:dyDescent="0.3">
      <c r="A41" s="7" t="s">
        <v>652</v>
      </c>
    </row>
    <row r="42" spans="1:10" x14ac:dyDescent="0.3">
      <c r="A42" s="7" t="s">
        <v>653</v>
      </c>
    </row>
    <row r="49" spans="1:10" ht="28.8" customHeight="1" x14ac:dyDescent="0.3">
      <c r="A49" s="22" t="s">
        <v>584</v>
      </c>
      <c r="B49" s="11" t="s">
        <v>316</v>
      </c>
      <c r="C49" s="11" t="s">
        <v>4</v>
      </c>
      <c r="D49" s="13" t="s">
        <v>585</v>
      </c>
      <c r="E49" s="13" t="s">
        <v>654</v>
      </c>
      <c r="F49" s="13" t="s">
        <v>655</v>
      </c>
      <c r="G49" s="13" t="s">
        <v>656</v>
      </c>
      <c r="H49" s="13" t="s">
        <v>657</v>
      </c>
      <c r="I49" s="13" t="s">
        <v>658</v>
      </c>
      <c r="J49" s="13" t="s">
        <v>591</v>
      </c>
    </row>
    <row r="50" spans="1:10" x14ac:dyDescent="0.3">
      <c r="A50" s="23">
        <v>1</v>
      </c>
      <c r="B50" s="14" t="s">
        <v>592</v>
      </c>
      <c r="C50" s="14" t="s">
        <v>593</v>
      </c>
      <c r="D50" s="15">
        <v>1</v>
      </c>
      <c r="E50" s="16">
        <v>4750</v>
      </c>
      <c r="F50" s="16">
        <v>4750</v>
      </c>
      <c r="G50" s="17">
        <v>4750</v>
      </c>
      <c r="H50" s="19">
        <v>0.08</v>
      </c>
      <c r="I50" s="12" t="s">
        <v>659</v>
      </c>
      <c r="J50" s="12" t="s">
        <v>659</v>
      </c>
    </row>
    <row r="51" spans="1:10" x14ac:dyDescent="0.3">
      <c r="A51" s="23">
        <v>2</v>
      </c>
      <c r="B51" s="14" t="s">
        <v>594</v>
      </c>
      <c r="C51" s="14" t="s">
        <v>595</v>
      </c>
      <c r="D51" s="15">
        <v>1</v>
      </c>
      <c r="E51" s="12">
        <v>523.45000000000005</v>
      </c>
      <c r="F51" s="12">
        <v>523.45000000000005</v>
      </c>
      <c r="G51" s="13">
        <v>523.45000000000005</v>
      </c>
      <c r="H51" s="19">
        <v>0.14499999999999999</v>
      </c>
      <c r="I51" s="12" t="s">
        <v>659</v>
      </c>
      <c r="J51" s="12" t="s">
        <v>659</v>
      </c>
    </row>
    <row r="52" spans="1:10" ht="28.8" customHeight="1" x14ac:dyDescent="0.3">
      <c r="A52" s="23" t="s">
        <v>596</v>
      </c>
      <c r="B52" s="14" t="s">
        <v>660</v>
      </c>
      <c r="C52" s="14" t="s">
        <v>595</v>
      </c>
      <c r="D52" s="15">
        <v>0.5</v>
      </c>
      <c r="E52" s="16">
        <v>5430</v>
      </c>
      <c r="F52" s="16">
        <v>2715</v>
      </c>
      <c r="G52" s="16">
        <v>5530</v>
      </c>
      <c r="H52" s="18">
        <v>0.19500000000000001</v>
      </c>
      <c r="I52" s="12" t="s">
        <v>659</v>
      </c>
      <c r="J52" s="12" t="s">
        <v>659</v>
      </c>
    </row>
    <row r="53" spans="1:10" ht="28.8" customHeight="1" x14ac:dyDescent="0.3">
      <c r="A53" s="23" t="s">
        <v>598</v>
      </c>
      <c r="B53" s="14" t="s">
        <v>661</v>
      </c>
      <c r="C53" s="14" t="s">
        <v>595</v>
      </c>
      <c r="D53" s="15">
        <v>0.5</v>
      </c>
      <c r="E53" s="16">
        <v>5630</v>
      </c>
      <c r="F53" s="16">
        <v>2815</v>
      </c>
      <c r="G53" s="12" t="s">
        <v>659</v>
      </c>
      <c r="H53" s="12" t="s">
        <v>659</v>
      </c>
      <c r="I53" s="12" t="s">
        <v>659</v>
      </c>
      <c r="J53" s="12" t="s">
        <v>659</v>
      </c>
    </row>
    <row r="54" spans="1:10" x14ac:dyDescent="0.3">
      <c r="A54" s="22" t="s">
        <v>662</v>
      </c>
      <c r="B54" s="20" t="s">
        <v>663</v>
      </c>
      <c r="C54" s="20" t="s">
        <v>664</v>
      </c>
      <c r="D54" s="21">
        <v>1</v>
      </c>
      <c r="E54" s="12" t="s">
        <v>659</v>
      </c>
      <c r="F54" s="17">
        <v>5530</v>
      </c>
      <c r="G54" s="17">
        <v>5530</v>
      </c>
      <c r="H54" s="19">
        <v>0.19500000000000001</v>
      </c>
      <c r="I54" s="12" t="s">
        <v>659</v>
      </c>
      <c r="J54" s="12" t="s">
        <v>659</v>
      </c>
    </row>
    <row r="55" spans="1:10" x14ac:dyDescent="0.3">
      <c r="A55" s="23" t="s">
        <v>600</v>
      </c>
      <c r="B55" s="14" t="s">
        <v>601</v>
      </c>
      <c r="C55" s="14" t="s">
        <v>602</v>
      </c>
      <c r="D55" s="15">
        <v>0.75</v>
      </c>
      <c r="E55" s="16">
        <v>1500</v>
      </c>
      <c r="F55" s="16">
        <v>1125</v>
      </c>
      <c r="G55" s="16">
        <v>1375</v>
      </c>
      <c r="H55" s="18">
        <v>6.5000000000000002E-2</v>
      </c>
      <c r="I55" s="12" t="s">
        <v>659</v>
      </c>
      <c r="J55" s="12" t="s">
        <v>659</v>
      </c>
    </row>
    <row r="56" spans="1:10" x14ac:dyDescent="0.3">
      <c r="A56" s="23" t="s">
        <v>603</v>
      </c>
      <c r="B56" s="14" t="s">
        <v>604</v>
      </c>
      <c r="C56" s="14" t="s">
        <v>602</v>
      </c>
      <c r="D56" s="15">
        <v>0.25</v>
      </c>
      <c r="E56" s="16">
        <v>1000</v>
      </c>
      <c r="F56" s="12">
        <v>250</v>
      </c>
      <c r="G56" s="12" t="s">
        <v>659</v>
      </c>
      <c r="H56" s="12" t="s">
        <v>659</v>
      </c>
      <c r="I56" s="12" t="s">
        <v>659</v>
      </c>
      <c r="J56" s="12" t="s">
        <v>659</v>
      </c>
    </row>
    <row r="57" spans="1:10" x14ac:dyDescent="0.3">
      <c r="A57" s="22" t="s">
        <v>665</v>
      </c>
      <c r="B57" s="20" t="s">
        <v>666</v>
      </c>
      <c r="C57" s="20" t="s">
        <v>664</v>
      </c>
      <c r="D57" s="21">
        <v>1</v>
      </c>
      <c r="E57" s="12" t="s">
        <v>659</v>
      </c>
      <c r="F57" s="17">
        <v>1375</v>
      </c>
      <c r="G57" s="17">
        <v>1375</v>
      </c>
      <c r="H57" s="19">
        <v>6.5000000000000002E-2</v>
      </c>
      <c r="I57" s="12" t="s">
        <v>659</v>
      </c>
      <c r="J57" s="12" t="s">
        <v>659</v>
      </c>
    </row>
    <row r="58" spans="1:10" x14ac:dyDescent="0.3">
      <c r="A58" s="23" t="s">
        <v>558</v>
      </c>
      <c r="B58" s="14" t="s">
        <v>605</v>
      </c>
      <c r="C58" s="14" t="s">
        <v>602</v>
      </c>
      <c r="D58" s="15">
        <v>0.75</v>
      </c>
      <c r="E58" s="16">
        <v>1250</v>
      </c>
      <c r="F58" s="12">
        <v>937.5</v>
      </c>
      <c r="G58" s="16">
        <v>1260</v>
      </c>
      <c r="H58" s="18">
        <v>0.03</v>
      </c>
      <c r="I58" s="12" t="s">
        <v>659</v>
      </c>
      <c r="J58" s="12" t="s">
        <v>659</v>
      </c>
    </row>
    <row r="59" spans="1:10" x14ac:dyDescent="0.3">
      <c r="A59" s="23" t="s">
        <v>560</v>
      </c>
      <c r="B59" s="14" t="s">
        <v>667</v>
      </c>
      <c r="C59" s="14" t="s">
        <v>602</v>
      </c>
      <c r="D59" s="15">
        <v>0.25</v>
      </c>
      <c r="E59" s="16">
        <v>1290</v>
      </c>
      <c r="F59" s="12">
        <v>322.5</v>
      </c>
      <c r="G59" s="12" t="s">
        <v>659</v>
      </c>
      <c r="H59" s="12" t="s">
        <v>659</v>
      </c>
      <c r="I59" s="12" t="s">
        <v>659</v>
      </c>
      <c r="J59" s="12" t="s">
        <v>659</v>
      </c>
    </row>
    <row r="60" spans="1:10" x14ac:dyDescent="0.3">
      <c r="A60" s="22" t="s">
        <v>668</v>
      </c>
      <c r="B60" s="20" t="s">
        <v>669</v>
      </c>
      <c r="C60" s="20" t="s">
        <v>664</v>
      </c>
      <c r="D60" s="21">
        <v>1</v>
      </c>
      <c r="E60" s="12" t="s">
        <v>659</v>
      </c>
      <c r="F60" s="17">
        <v>1260</v>
      </c>
      <c r="G60" s="17">
        <v>1260</v>
      </c>
      <c r="H60" s="19">
        <v>0.03</v>
      </c>
      <c r="I60" s="12" t="s">
        <v>659</v>
      </c>
      <c r="J60" s="12" t="s">
        <v>659</v>
      </c>
    </row>
    <row r="61" spans="1:10" x14ac:dyDescent="0.3">
      <c r="A61" s="23" t="s">
        <v>607</v>
      </c>
      <c r="B61" s="14" t="s">
        <v>608</v>
      </c>
      <c r="C61" s="14" t="s">
        <v>20</v>
      </c>
      <c r="D61" s="15">
        <v>0.5</v>
      </c>
      <c r="E61" s="12">
        <v>380</v>
      </c>
      <c r="F61" s="12">
        <v>190</v>
      </c>
      <c r="G61" s="12">
        <v>658.07</v>
      </c>
      <c r="H61" s="18">
        <v>0.05</v>
      </c>
      <c r="I61" s="12" t="s">
        <v>659</v>
      </c>
      <c r="J61" s="12" t="s">
        <v>659</v>
      </c>
    </row>
    <row r="62" spans="1:10" x14ac:dyDescent="0.3">
      <c r="A62" s="23" t="s">
        <v>609</v>
      </c>
      <c r="B62" s="14" t="s">
        <v>610</v>
      </c>
      <c r="C62" s="14" t="s">
        <v>20</v>
      </c>
      <c r="D62" s="15">
        <v>0.2</v>
      </c>
      <c r="E62" s="12">
        <v>352</v>
      </c>
      <c r="F62" s="12">
        <v>70.400000000000006</v>
      </c>
      <c r="G62" s="12" t="s">
        <v>659</v>
      </c>
      <c r="H62" s="12" t="s">
        <v>659</v>
      </c>
      <c r="I62" s="12" t="s">
        <v>659</v>
      </c>
      <c r="J62" s="12" t="s">
        <v>659</v>
      </c>
    </row>
    <row r="63" spans="1:10" x14ac:dyDescent="0.3">
      <c r="A63" s="23" t="s">
        <v>611</v>
      </c>
      <c r="B63" s="14" t="s">
        <v>612</v>
      </c>
      <c r="C63" s="14" t="s">
        <v>20</v>
      </c>
      <c r="D63" s="15">
        <v>0.1</v>
      </c>
      <c r="E63" s="12">
        <v>376.74</v>
      </c>
      <c r="F63" s="12">
        <v>37.67</v>
      </c>
      <c r="G63" s="12" t="s">
        <v>659</v>
      </c>
      <c r="H63" s="12" t="s">
        <v>659</v>
      </c>
      <c r="I63" s="12" t="s">
        <v>659</v>
      </c>
      <c r="J63" s="12" t="s">
        <v>659</v>
      </c>
    </row>
    <row r="64" spans="1:10" x14ac:dyDescent="0.3">
      <c r="A64" s="23" t="s">
        <v>613</v>
      </c>
      <c r="B64" s="14" t="s">
        <v>614</v>
      </c>
      <c r="C64" s="14" t="s">
        <v>20</v>
      </c>
      <c r="D64" s="15">
        <v>0.2</v>
      </c>
      <c r="E64" s="16">
        <v>1800</v>
      </c>
      <c r="F64" s="12">
        <v>360</v>
      </c>
      <c r="G64" s="12" t="s">
        <v>659</v>
      </c>
      <c r="H64" s="12" t="s">
        <v>659</v>
      </c>
      <c r="I64" s="12" t="s">
        <v>659</v>
      </c>
      <c r="J64" s="12" t="s">
        <v>659</v>
      </c>
    </row>
    <row r="65" spans="1:10" x14ac:dyDescent="0.3">
      <c r="A65" s="22" t="s">
        <v>670</v>
      </c>
      <c r="B65" s="20" t="s">
        <v>671</v>
      </c>
      <c r="C65" s="20" t="s">
        <v>664</v>
      </c>
      <c r="D65" s="21">
        <v>1</v>
      </c>
      <c r="E65" s="12" t="s">
        <v>659</v>
      </c>
      <c r="F65" s="13">
        <v>658.07</v>
      </c>
      <c r="G65" s="13">
        <v>658.07</v>
      </c>
      <c r="H65" s="19">
        <v>0.05</v>
      </c>
      <c r="I65" s="12" t="s">
        <v>659</v>
      </c>
      <c r="J65" s="12" t="s">
        <v>659</v>
      </c>
    </row>
    <row r="66" spans="1:10" x14ac:dyDescent="0.3">
      <c r="A66" s="23" t="s">
        <v>615</v>
      </c>
      <c r="B66" s="14" t="s">
        <v>616</v>
      </c>
      <c r="C66" s="14" t="s">
        <v>180</v>
      </c>
      <c r="D66" s="18">
        <v>0.33329999999999999</v>
      </c>
      <c r="E66" s="12">
        <v>178</v>
      </c>
      <c r="F66" s="12">
        <v>59.33</v>
      </c>
      <c r="G66" s="12">
        <v>167.67</v>
      </c>
      <c r="H66" s="18">
        <v>0.03</v>
      </c>
      <c r="I66" s="12" t="s">
        <v>659</v>
      </c>
      <c r="J66" s="12" t="s">
        <v>659</v>
      </c>
    </row>
    <row r="67" spans="1:10" x14ac:dyDescent="0.3">
      <c r="A67" s="23" t="s">
        <v>617</v>
      </c>
      <c r="B67" s="14" t="s">
        <v>618</v>
      </c>
      <c r="C67" s="14" t="s">
        <v>180</v>
      </c>
      <c r="D67" s="18">
        <v>0.33329999999999999</v>
      </c>
      <c r="E67" s="12">
        <v>38</v>
      </c>
      <c r="F67" s="12">
        <v>12.67</v>
      </c>
      <c r="G67" s="12" t="s">
        <v>659</v>
      </c>
      <c r="H67" s="12" t="s">
        <v>659</v>
      </c>
      <c r="I67" s="12" t="s">
        <v>659</v>
      </c>
      <c r="J67" s="12" t="s">
        <v>659</v>
      </c>
    </row>
    <row r="68" spans="1:10" x14ac:dyDescent="0.3">
      <c r="A68" s="23" t="s">
        <v>619</v>
      </c>
      <c r="B68" s="14" t="s">
        <v>620</v>
      </c>
      <c r="C68" s="14" t="s">
        <v>180</v>
      </c>
      <c r="D68" s="18">
        <v>0.33329999999999999</v>
      </c>
      <c r="E68" s="12">
        <v>287</v>
      </c>
      <c r="F68" s="12">
        <v>95.66</v>
      </c>
      <c r="G68" s="12" t="s">
        <v>659</v>
      </c>
      <c r="H68" s="12" t="s">
        <v>659</v>
      </c>
      <c r="I68" s="12" t="s">
        <v>659</v>
      </c>
      <c r="J68" s="12" t="s">
        <v>659</v>
      </c>
    </row>
    <row r="69" spans="1:10" x14ac:dyDescent="0.3">
      <c r="A69" s="22" t="s">
        <v>672</v>
      </c>
      <c r="B69" s="20" t="s">
        <v>673</v>
      </c>
      <c r="C69" s="20" t="s">
        <v>664</v>
      </c>
      <c r="D69" s="21">
        <v>1</v>
      </c>
      <c r="E69" s="12" t="s">
        <v>659</v>
      </c>
      <c r="F69" s="13">
        <v>167.66</v>
      </c>
      <c r="G69" s="13">
        <v>167.67</v>
      </c>
      <c r="H69" s="19">
        <v>0.03</v>
      </c>
      <c r="I69" s="12" t="s">
        <v>659</v>
      </c>
      <c r="J69" s="12" t="s">
        <v>659</v>
      </c>
    </row>
    <row r="70" spans="1:10" ht="28.8" customHeight="1" x14ac:dyDescent="0.3">
      <c r="A70" s="23" t="s">
        <v>566</v>
      </c>
      <c r="B70" s="14" t="s">
        <v>674</v>
      </c>
      <c r="C70" s="14" t="s">
        <v>20</v>
      </c>
      <c r="D70" s="15">
        <v>0.3</v>
      </c>
      <c r="E70" s="16">
        <v>2120</v>
      </c>
      <c r="F70" s="12">
        <v>636</v>
      </c>
      <c r="G70" s="16">
        <v>2601</v>
      </c>
      <c r="H70" s="18">
        <v>7.0000000000000007E-2</v>
      </c>
      <c r="I70" s="12" t="s">
        <v>659</v>
      </c>
      <c r="J70" s="12" t="s">
        <v>659</v>
      </c>
    </row>
    <row r="71" spans="1:10" ht="28.8" customHeight="1" x14ac:dyDescent="0.3">
      <c r="A71" s="23" t="s">
        <v>568</v>
      </c>
      <c r="B71" s="14" t="s">
        <v>675</v>
      </c>
      <c r="C71" s="14" t="s">
        <v>20</v>
      </c>
      <c r="D71" s="15">
        <v>0.15</v>
      </c>
      <c r="E71" s="16">
        <v>1750</v>
      </c>
      <c r="F71" s="12">
        <v>262.5</v>
      </c>
      <c r="G71" s="12" t="s">
        <v>659</v>
      </c>
      <c r="H71" s="12" t="s">
        <v>659</v>
      </c>
      <c r="I71" s="12" t="s">
        <v>659</v>
      </c>
      <c r="J71" s="12" t="s">
        <v>659</v>
      </c>
    </row>
    <row r="72" spans="1:10" x14ac:dyDescent="0.3">
      <c r="A72" s="23" t="s">
        <v>570</v>
      </c>
      <c r="B72" s="14" t="s">
        <v>623</v>
      </c>
      <c r="C72" s="14" t="s">
        <v>20</v>
      </c>
      <c r="D72" s="15">
        <v>0.2</v>
      </c>
      <c r="E72" s="16">
        <v>4400</v>
      </c>
      <c r="F72" s="12">
        <v>880</v>
      </c>
      <c r="G72" s="12" t="s">
        <v>659</v>
      </c>
      <c r="H72" s="12" t="s">
        <v>659</v>
      </c>
      <c r="I72" s="12" t="s">
        <v>659</v>
      </c>
      <c r="J72" s="12" t="s">
        <v>659</v>
      </c>
    </row>
    <row r="73" spans="1:10" x14ac:dyDescent="0.3">
      <c r="A73" s="23" t="s">
        <v>572</v>
      </c>
      <c r="B73" s="14" t="s">
        <v>624</v>
      </c>
      <c r="C73" s="14" t="s">
        <v>20</v>
      </c>
      <c r="D73" s="15">
        <v>0.35</v>
      </c>
      <c r="E73" s="16">
        <v>2350</v>
      </c>
      <c r="F73" s="12">
        <v>822.5</v>
      </c>
      <c r="G73" s="12" t="s">
        <v>659</v>
      </c>
      <c r="H73" s="12" t="s">
        <v>659</v>
      </c>
      <c r="I73" s="12" t="s">
        <v>659</v>
      </c>
      <c r="J73" s="12" t="s">
        <v>659</v>
      </c>
    </row>
    <row r="74" spans="1:10" x14ac:dyDescent="0.3">
      <c r="A74" s="22" t="s">
        <v>676</v>
      </c>
      <c r="B74" s="20" t="s">
        <v>677</v>
      </c>
      <c r="C74" s="20" t="s">
        <v>664</v>
      </c>
      <c r="D74" s="21">
        <v>1</v>
      </c>
      <c r="E74" s="12" t="s">
        <v>659</v>
      </c>
      <c r="F74" s="17">
        <v>2601</v>
      </c>
      <c r="G74" s="17">
        <v>2601</v>
      </c>
      <c r="H74" s="19">
        <v>7.0000000000000007E-2</v>
      </c>
      <c r="I74" s="12" t="s">
        <v>659</v>
      </c>
      <c r="J74" s="12" t="s">
        <v>659</v>
      </c>
    </row>
    <row r="75" spans="1:10" x14ac:dyDescent="0.3">
      <c r="A75" s="23" t="s">
        <v>625</v>
      </c>
      <c r="B75" s="14" t="s">
        <v>626</v>
      </c>
      <c r="C75" s="14" t="s">
        <v>13</v>
      </c>
      <c r="D75" s="15">
        <v>0.1</v>
      </c>
      <c r="E75" s="12">
        <v>110</v>
      </c>
      <c r="F75" s="12">
        <v>11</v>
      </c>
      <c r="G75" s="12">
        <v>350</v>
      </c>
      <c r="H75" s="18">
        <v>2.5000000000000001E-2</v>
      </c>
      <c r="I75" s="12" t="s">
        <v>659</v>
      </c>
      <c r="J75" s="12" t="s">
        <v>659</v>
      </c>
    </row>
    <row r="76" spans="1:10" x14ac:dyDescent="0.3">
      <c r="A76" s="23" t="s">
        <v>627</v>
      </c>
      <c r="B76" s="14" t="s">
        <v>628</v>
      </c>
      <c r="C76" s="14" t="s">
        <v>13</v>
      </c>
      <c r="D76" s="15">
        <v>0.4</v>
      </c>
      <c r="E76" s="12">
        <v>710</v>
      </c>
      <c r="F76" s="12">
        <v>284</v>
      </c>
      <c r="G76" s="12" t="s">
        <v>659</v>
      </c>
      <c r="H76" s="12" t="s">
        <v>659</v>
      </c>
      <c r="I76" s="12" t="s">
        <v>659</v>
      </c>
      <c r="J76" s="12" t="s">
        <v>659</v>
      </c>
    </row>
    <row r="77" spans="1:10" x14ac:dyDescent="0.3">
      <c r="A77" s="23" t="s">
        <v>629</v>
      </c>
      <c r="B77" s="14" t="s">
        <v>630</v>
      </c>
      <c r="C77" s="14" t="s">
        <v>13</v>
      </c>
      <c r="D77" s="15">
        <v>0.2</v>
      </c>
      <c r="E77" s="12">
        <v>80</v>
      </c>
      <c r="F77" s="12">
        <v>16</v>
      </c>
      <c r="G77" s="12" t="s">
        <v>659</v>
      </c>
      <c r="H77" s="12" t="s">
        <v>659</v>
      </c>
      <c r="I77" s="12" t="s">
        <v>659</v>
      </c>
      <c r="J77" s="12" t="s">
        <v>659</v>
      </c>
    </row>
    <row r="78" spans="1:10" x14ac:dyDescent="0.3">
      <c r="A78" s="23" t="s">
        <v>631</v>
      </c>
      <c r="B78" s="14" t="s">
        <v>632</v>
      </c>
      <c r="C78" s="14" t="s">
        <v>13</v>
      </c>
      <c r="D78" s="15">
        <v>0.3</v>
      </c>
      <c r="E78" s="12">
        <v>130</v>
      </c>
      <c r="F78" s="12">
        <v>39</v>
      </c>
      <c r="G78" s="12" t="s">
        <v>659</v>
      </c>
      <c r="H78" s="12" t="s">
        <v>659</v>
      </c>
      <c r="I78" s="12" t="s">
        <v>659</v>
      </c>
      <c r="J78" s="12" t="s">
        <v>659</v>
      </c>
    </row>
    <row r="79" spans="1:10" x14ac:dyDescent="0.3">
      <c r="A79" s="22" t="s">
        <v>678</v>
      </c>
      <c r="B79" s="20" t="s">
        <v>679</v>
      </c>
      <c r="C79" s="20" t="s">
        <v>664</v>
      </c>
      <c r="D79" s="21">
        <v>1</v>
      </c>
      <c r="E79" s="12" t="s">
        <v>659</v>
      </c>
      <c r="F79" s="13">
        <v>350</v>
      </c>
      <c r="G79" s="13">
        <v>350</v>
      </c>
      <c r="H79" s="19">
        <v>2.5000000000000001E-2</v>
      </c>
      <c r="I79" s="12" t="s">
        <v>659</v>
      </c>
      <c r="J79" s="12" t="s">
        <v>659</v>
      </c>
    </row>
    <row r="80" spans="1:10" x14ac:dyDescent="0.3">
      <c r="A80" s="23" t="s">
        <v>633</v>
      </c>
      <c r="B80" s="14" t="s">
        <v>634</v>
      </c>
      <c r="C80" s="14" t="s">
        <v>212</v>
      </c>
      <c r="D80" s="15">
        <v>0.5</v>
      </c>
      <c r="E80" s="16">
        <v>1315</v>
      </c>
      <c r="F80" s="12">
        <v>657.5</v>
      </c>
      <c r="G80" s="12">
        <v>816.4</v>
      </c>
      <c r="H80" s="18">
        <v>4.4999999999999998E-2</v>
      </c>
      <c r="I80" s="12" t="s">
        <v>659</v>
      </c>
      <c r="J80" s="12" t="s">
        <v>659</v>
      </c>
    </row>
    <row r="81" spans="1:10" ht="28.8" customHeight="1" x14ac:dyDescent="0.3">
      <c r="A81" s="23" t="s">
        <v>635</v>
      </c>
      <c r="B81" s="14" t="s">
        <v>636</v>
      </c>
      <c r="C81" s="14" t="s">
        <v>212</v>
      </c>
      <c r="D81" s="15">
        <v>0.4</v>
      </c>
      <c r="E81" s="12">
        <v>383</v>
      </c>
      <c r="F81" s="12">
        <v>153.19999999999999</v>
      </c>
      <c r="G81" s="12" t="s">
        <v>659</v>
      </c>
      <c r="H81" s="12" t="s">
        <v>659</v>
      </c>
      <c r="I81" s="12" t="s">
        <v>659</v>
      </c>
      <c r="J81" s="12" t="s">
        <v>659</v>
      </c>
    </row>
    <row r="82" spans="1:10" x14ac:dyDescent="0.3">
      <c r="A82" s="23" t="s">
        <v>637</v>
      </c>
      <c r="B82" s="14" t="s">
        <v>638</v>
      </c>
      <c r="C82" s="14" t="s">
        <v>212</v>
      </c>
      <c r="D82" s="15">
        <v>0.1</v>
      </c>
      <c r="E82" s="12">
        <v>57</v>
      </c>
      <c r="F82" s="12">
        <v>5.7</v>
      </c>
      <c r="G82" s="12" t="s">
        <v>659</v>
      </c>
      <c r="H82" s="12" t="s">
        <v>659</v>
      </c>
      <c r="I82" s="12" t="s">
        <v>659</v>
      </c>
      <c r="J82" s="12" t="s">
        <v>659</v>
      </c>
    </row>
    <row r="83" spans="1:10" ht="28.8" customHeight="1" x14ac:dyDescent="0.3">
      <c r="A83" s="22" t="s">
        <v>680</v>
      </c>
      <c r="B83" s="20" t="s">
        <v>681</v>
      </c>
      <c r="C83" s="20" t="s">
        <v>664</v>
      </c>
      <c r="D83" s="21">
        <v>1</v>
      </c>
      <c r="E83" s="12" t="s">
        <v>659</v>
      </c>
      <c r="F83" s="13">
        <v>816.4</v>
      </c>
      <c r="G83" s="13">
        <v>816.4</v>
      </c>
      <c r="H83" s="19">
        <v>4.4999999999999998E-2</v>
      </c>
      <c r="I83" s="12" t="s">
        <v>659</v>
      </c>
      <c r="J83" s="12" t="s">
        <v>659</v>
      </c>
    </row>
    <row r="84" spans="1:10" ht="28.8" customHeight="1" x14ac:dyDescent="0.3">
      <c r="A84" s="23">
        <v>11</v>
      </c>
      <c r="B84" s="14" t="s">
        <v>682</v>
      </c>
      <c r="C84" s="14" t="s">
        <v>212</v>
      </c>
      <c r="D84" s="15">
        <v>1</v>
      </c>
      <c r="E84" s="16">
        <v>29500</v>
      </c>
      <c r="F84" s="16">
        <v>29500</v>
      </c>
      <c r="G84" s="17">
        <v>29500</v>
      </c>
      <c r="H84" s="19">
        <v>2.5000000000000001E-2</v>
      </c>
      <c r="I84" s="12" t="s">
        <v>659</v>
      </c>
      <c r="J84" s="12" t="s">
        <v>659</v>
      </c>
    </row>
    <row r="85" spans="1:10" x14ac:dyDescent="0.3">
      <c r="A85" s="23" t="s">
        <v>641</v>
      </c>
      <c r="B85" s="14" t="s">
        <v>642</v>
      </c>
      <c r="C85" s="14" t="s">
        <v>643</v>
      </c>
      <c r="D85" s="15">
        <v>0.7</v>
      </c>
      <c r="E85" s="16">
        <v>1280</v>
      </c>
      <c r="F85" s="12">
        <v>896</v>
      </c>
      <c r="G85" s="16">
        <v>1861.4</v>
      </c>
      <c r="H85" s="18">
        <v>0.04</v>
      </c>
      <c r="I85" s="12" t="s">
        <v>659</v>
      </c>
      <c r="J85" s="12" t="s">
        <v>659</v>
      </c>
    </row>
    <row r="86" spans="1:10" x14ac:dyDescent="0.3">
      <c r="A86" s="23" t="s">
        <v>644</v>
      </c>
      <c r="B86" s="14" t="s">
        <v>645</v>
      </c>
      <c r="C86" s="14" t="s">
        <v>643</v>
      </c>
      <c r="D86" s="15">
        <v>0.3</v>
      </c>
      <c r="E86" s="16">
        <v>3218</v>
      </c>
      <c r="F86" s="12">
        <v>965.4</v>
      </c>
      <c r="G86" s="12" t="s">
        <v>659</v>
      </c>
      <c r="H86" s="12" t="s">
        <v>659</v>
      </c>
      <c r="I86" s="12" t="s">
        <v>659</v>
      </c>
      <c r="J86" s="12" t="s">
        <v>659</v>
      </c>
    </row>
    <row r="87" spans="1:10" ht="28.8" customHeight="1" x14ac:dyDescent="0.3">
      <c r="A87" s="22" t="s">
        <v>683</v>
      </c>
      <c r="B87" s="20" t="s">
        <v>684</v>
      </c>
      <c r="C87" s="20" t="s">
        <v>664</v>
      </c>
      <c r="D87" s="21">
        <v>1</v>
      </c>
      <c r="E87" s="12" t="s">
        <v>659</v>
      </c>
      <c r="F87" s="17">
        <v>1861.4</v>
      </c>
      <c r="G87" s="17">
        <v>1861.4</v>
      </c>
      <c r="H87" s="19">
        <v>0.04</v>
      </c>
      <c r="I87" s="12" t="s">
        <v>659</v>
      </c>
      <c r="J87" s="12" t="s">
        <v>659</v>
      </c>
    </row>
    <row r="88" spans="1:10" x14ac:dyDescent="0.3">
      <c r="A88" s="23" t="s">
        <v>646</v>
      </c>
      <c r="B88" s="14" t="s">
        <v>647</v>
      </c>
      <c r="C88" s="14" t="s">
        <v>212</v>
      </c>
      <c r="D88" s="15">
        <v>0.5</v>
      </c>
      <c r="E88" s="12">
        <v>981</v>
      </c>
      <c r="F88" s="12">
        <v>490.5</v>
      </c>
      <c r="G88" s="12">
        <v>893</v>
      </c>
      <c r="H88" s="18">
        <v>0.2</v>
      </c>
      <c r="I88" s="12" t="s">
        <v>659</v>
      </c>
      <c r="J88" s="12" t="s">
        <v>659</v>
      </c>
    </row>
    <row r="89" spans="1:10" x14ac:dyDescent="0.3">
      <c r="A89" s="23" t="s">
        <v>648</v>
      </c>
      <c r="B89" s="14" t="s">
        <v>649</v>
      </c>
      <c r="C89" s="14" t="s">
        <v>212</v>
      </c>
      <c r="D89" s="15">
        <v>0.5</v>
      </c>
      <c r="E89" s="12">
        <v>805</v>
      </c>
      <c r="F89" s="12">
        <v>402.5</v>
      </c>
      <c r="G89" s="12" t="s">
        <v>659</v>
      </c>
      <c r="H89" s="12" t="s">
        <v>659</v>
      </c>
      <c r="I89" s="12" t="s">
        <v>659</v>
      </c>
      <c r="J89" s="12" t="s">
        <v>659</v>
      </c>
    </row>
    <row r="90" spans="1:10" ht="28.8" customHeight="1" x14ac:dyDescent="0.3">
      <c r="A90" s="22" t="s">
        <v>685</v>
      </c>
      <c r="B90" s="20" t="s">
        <v>686</v>
      </c>
      <c r="C90" s="20" t="s">
        <v>664</v>
      </c>
      <c r="D90" s="21">
        <v>1</v>
      </c>
      <c r="E90" s="12" t="s">
        <v>659</v>
      </c>
      <c r="F90" s="13">
        <v>893</v>
      </c>
      <c r="G90" s="13">
        <v>893</v>
      </c>
      <c r="H90" s="19">
        <v>0.2</v>
      </c>
      <c r="I90" s="12" t="s">
        <v>659</v>
      </c>
      <c r="J90" s="12" t="s">
        <v>659</v>
      </c>
    </row>
    <row r="92" spans="1:10" x14ac:dyDescent="0.3">
      <c r="A92" t="s">
        <v>687</v>
      </c>
    </row>
  </sheetData>
  <pageMargins left="0.25" right="0.25" top="0.5" bottom="0.5" header="0.5" footer="0.5"/>
  <pageSetup fitToHeight="0"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showGridLines="0" workbookViewId="0">
      <pane ySplit="4" topLeftCell="A5" activePane="bottomLeft" state="frozen"/>
      <selection pane="bottomLeft"/>
    </sheetView>
  </sheetViews>
  <sheetFormatPr defaultRowHeight="14.4" x14ac:dyDescent="0.3"/>
  <cols>
    <col min="1" max="1" width="14" customWidth="1"/>
    <col min="2" max="2" width="55" customWidth="1"/>
    <col min="3" max="3" width="32" customWidth="1"/>
    <col min="4" max="4" width="24" customWidth="1"/>
  </cols>
  <sheetData>
    <row r="1" spans="1:4" ht="18" customHeight="1" x14ac:dyDescent="0.3">
      <c r="A1" s="5" t="s">
        <v>688</v>
      </c>
    </row>
    <row r="2" spans="1:4" x14ac:dyDescent="0.3">
      <c r="A2" s="6" t="s">
        <v>689</v>
      </c>
    </row>
    <row r="4" spans="1:4" x14ac:dyDescent="0.3">
      <c r="A4" s="1" t="s">
        <v>690</v>
      </c>
      <c r="B4" s="1" t="s">
        <v>691</v>
      </c>
      <c r="C4" s="1" t="s">
        <v>692</v>
      </c>
      <c r="D4" s="1" t="s">
        <v>693</v>
      </c>
    </row>
    <row r="5" spans="1:4" ht="28.8" customHeight="1" x14ac:dyDescent="0.3">
      <c r="A5" s="2" t="s">
        <v>694</v>
      </c>
      <c r="B5" s="2" t="s">
        <v>695</v>
      </c>
      <c r="C5" s="2" t="s">
        <v>696</v>
      </c>
      <c r="D5" s="2" t="s">
        <v>697</v>
      </c>
    </row>
    <row r="6" spans="1:4" x14ac:dyDescent="0.3">
      <c r="A6" s="2" t="s">
        <v>698</v>
      </c>
      <c r="B6" s="2" t="s">
        <v>699</v>
      </c>
      <c r="C6" s="2" t="s">
        <v>696</v>
      </c>
      <c r="D6" s="2" t="s">
        <v>697</v>
      </c>
    </row>
    <row r="7" spans="1:4" ht="28.8" customHeight="1" x14ac:dyDescent="0.3">
      <c r="A7" s="2" t="s">
        <v>700</v>
      </c>
      <c r="B7" s="2" t="s">
        <v>701</v>
      </c>
      <c r="C7" s="2" t="s">
        <v>696</v>
      </c>
      <c r="D7" s="2" t="s">
        <v>697</v>
      </c>
    </row>
    <row r="8" spans="1:4" x14ac:dyDescent="0.3">
      <c r="A8" s="2" t="s">
        <v>702</v>
      </c>
      <c r="B8" s="2" t="s">
        <v>703</v>
      </c>
      <c r="C8" s="2" t="s">
        <v>704</v>
      </c>
      <c r="D8" s="2" t="s">
        <v>705</v>
      </c>
    </row>
    <row r="9" spans="1:4" x14ac:dyDescent="0.3">
      <c r="A9" s="2" t="s">
        <v>706</v>
      </c>
      <c r="B9" s="2" t="s">
        <v>707</v>
      </c>
      <c r="C9" s="2" t="s">
        <v>704</v>
      </c>
      <c r="D9" s="2" t="s">
        <v>708</v>
      </c>
    </row>
    <row r="10" spans="1:4" x14ac:dyDescent="0.3">
      <c r="A10" s="2" t="s">
        <v>709</v>
      </c>
      <c r="B10" s="2" t="s">
        <v>710</v>
      </c>
      <c r="C10" s="2" t="s">
        <v>704</v>
      </c>
      <c r="D10" s="2" t="s">
        <v>711</v>
      </c>
    </row>
    <row r="11" spans="1:4" x14ac:dyDescent="0.3">
      <c r="A11" s="2" t="s">
        <v>712</v>
      </c>
      <c r="B11" s="2" t="s">
        <v>713</v>
      </c>
      <c r="C11" s="2" t="s">
        <v>704</v>
      </c>
      <c r="D11" s="2" t="s">
        <v>714</v>
      </c>
    </row>
    <row r="12" spans="1:4" x14ac:dyDescent="0.3">
      <c r="A12" s="2" t="s">
        <v>715</v>
      </c>
      <c r="B12" s="2" t="s">
        <v>716</v>
      </c>
      <c r="C12" s="2" t="s">
        <v>704</v>
      </c>
      <c r="D12" s="2" t="s">
        <v>717</v>
      </c>
    </row>
    <row r="13" spans="1:4" x14ac:dyDescent="0.3">
      <c r="A13" s="2" t="s">
        <v>718</v>
      </c>
      <c r="B13" s="2" t="s">
        <v>719</v>
      </c>
      <c r="C13" s="2" t="s">
        <v>704</v>
      </c>
      <c r="D13" s="2" t="s">
        <v>720</v>
      </c>
    </row>
    <row r="14" spans="1:4" x14ac:dyDescent="0.3">
      <c r="A14" s="2" t="s">
        <v>721</v>
      </c>
      <c r="B14" s="2" t="s">
        <v>722</v>
      </c>
      <c r="C14" s="2" t="s">
        <v>704</v>
      </c>
      <c r="D14" s="2" t="s">
        <v>723</v>
      </c>
    </row>
    <row r="15" spans="1:4" x14ac:dyDescent="0.3">
      <c r="A15" s="2" t="s">
        <v>724</v>
      </c>
      <c r="B15" s="2" t="s">
        <v>725</v>
      </c>
      <c r="C15" s="2" t="s">
        <v>704</v>
      </c>
      <c r="D15" s="2" t="s">
        <v>726</v>
      </c>
    </row>
    <row r="16" spans="1:4" x14ac:dyDescent="0.3">
      <c r="A16" s="2" t="s">
        <v>727</v>
      </c>
      <c r="B16" s="2" t="s">
        <v>728</v>
      </c>
      <c r="C16" s="2" t="s">
        <v>704</v>
      </c>
      <c r="D16" s="2" t="s">
        <v>729</v>
      </c>
    </row>
    <row r="17" spans="1:4" ht="43.2" customHeight="1" x14ac:dyDescent="0.3">
      <c r="A17" s="2" t="s">
        <v>730</v>
      </c>
      <c r="B17" s="2" t="s">
        <v>731</v>
      </c>
      <c r="C17" s="2" t="s">
        <v>732</v>
      </c>
      <c r="D17" s="2" t="s">
        <v>733</v>
      </c>
    </row>
    <row r="18" spans="1:4" ht="43.2" customHeight="1" x14ac:dyDescent="0.3">
      <c r="A18" s="2" t="s">
        <v>734</v>
      </c>
      <c r="B18" s="2" t="s">
        <v>735</v>
      </c>
      <c r="C18" s="2" t="s">
        <v>732</v>
      </c>
      <c r="D18" s="2" t="s">
        <v>736</v>
      </c>
    </row>
    <row r="19" spans="1:4" ht="43.2" customHeight="1" x14ac:dyDescent="0.3">
      <c r="A19" s="2" t="s">
        <v>734</v>
      </c>
      <c r="B19" s="2" t="s">
        <v>737</v>
      </c>
      <c r="C19" s="2" t="s">
        <v>732</v>
      </c>
      <c r="D19" s="2" t="s">
        <v>736</v>
      </c>
    </row>
    <row r="20" spans="1:4" ht="43.2" customHeight="1" x14ac:dyDescent="0.3">
      <c r="A20" s="2" t="s">
        <v>738</v>
      </c>
      <c r="B20" s="2" t="s">
        <v>739</v>
      </c>
      <c r="C20" s="2" t="s">
        <v>732</v>
      </c>
      <c r="D20" s="2" t="s">
        <v>740</v>
      </c>
    </row>
    <row r="21" spans="1:4" ht="28.8" customHeight="1" x14ac:dyDescent="0.3">
      <c r="A21" s="2" t="s">
        <v>741</v>
      </c>
      <c r="B21" s="2" t="s">
        <v>742</v>
      </c>
      <c r="C21" s="2" t="s">
        <v>696</v>
      </c>
      <c r="D21" s="2" t="s">
        <v>743</v>
      </c>
    </row>
  </sheetData>
  <pageMargins left="0.25" right="0.25" top="0.5" bottom="0.5" header="0.5" footer="0.5"/>
  <pageSetup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Estimator</vt:lpstr>
      <vt:lpstr>01 Building Cost</vt:lpstr>
      <vt:lpstr>02 Services</vt:lpstr>
      <vt:lpstr>03 TPQA Consultancy</vt:lpstr>
      <vt:lpstr>04 Lifts</vt:lpstr>
      <vt:lpstr>05 RCC Water Tank</vt:lpstr>
      <vt:lpstr>06 Development of Site</vt:lpstr>
      <vt:lpstr>07 Specialized E&amp;M</vt:lpstr>
      <vt:lpstr>08 Notes</vt:lpstr>
      <vt:lpstr>09 Cost Index</vt:lpstr>
      <vt:lpstr>10 Source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CPWD Plinth Area Rates 2025</dc:title>
  <dc:subject>Excel 2007-compatible cleaned tables from supplied PDF</dc:subject>
  <dc:creator>OpenAI</dc:creator>
  <cp:lastModifiedBy>nishant</cp:lastModifiedBy>
  <dcterms:created xsi:type="dcterms:W3CDTF">2026-09-01T12:19:26Z</dcterms:created>
  <dcterms:modified xsi:type="dcterms:W3CDTF">2026-09-02T04:35:57Z</dcterms:modified>
</cp:coreProperties>
</file>