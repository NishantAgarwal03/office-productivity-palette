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Sourced_Constants" sheetId="3" state="visible" r:id="rId5"/>
    <sheet name="Quantity_Calculation" sheetId="4" state="visible" r:id="rId6"/>
    <sheet name="Plumbing_Electrical_Provisional" sheetId="5" state="visible" r:id="rId7"/>
    <sheet name="Notes_Assump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<sst xmlns="http://schemas.openxmlformats.org/spreadsheetml/2006/main" count="639" uniqueCount="351">
  <si>
    <t xml:space="preserve">Building Material Quantity Calculator</t>
  </si>
  <si>
    <t xml:space="preserve">Purpose</t>
  </si>
  <si>
    <t xml:space="preserve">Calculates approximate material quantities for a building from a single input: Built-up (covered/plinth) Area in sqft. All thumb-rule constants are sourced from the uploaded 'Thumb_rules_converted_260831.xlsx' workbook (Pages 1-5, 9-13 only; Pages 6-8 excluded per instruction, as those are cost/percentage tables, not physical quantities).</t>
  </si>
  <si>
    <t xml:space="preserve">How to use</t>
  </si>
  <si>
    <t xml:space="preserve">1. Go to the 'Inputs' sheet.  2. Enter your Built-up Area in sqft in the yellow cell.  3. Choose Wall System from the dropdown.  4. Review/adjust the two loose-volume factors if you have site-specific data.  5. All results appear automatically on 'Quantity_Calculation'.</t>
  </si>
  <si>
    <t xml:space="preserve">Colour legend</t>
  </si>
  <si>
    <t xml:space="preserve">Yellow fill = your input cell (edit these).  Blue text = a sourced constant, taken verbatim/derived from the source workbook (see 'Sourced_Constants' sheet for exact cell citations).  Black text = a live formula.  Orange fill = manual-entry cell with NO source in the thumb-rule workbook (Plumbing &amp; Electrical sheet).</t>
  </si>
  <si>
    <t xml:space="preserve">No hardcoded results</t>
  </si>
  <si>
    <t xml:space="preserve">Every quantity on 'Quantity_Calculation' is a formula referencing 'Inputs' and 'Sourced_Constants' - change the built-up area or wall system and every figure recalculates.</t>
  </si>
  <si>
    <t xml:space="preserve">Sheets in this workbook</t>
  </si>
  <si>
    <t xml:space="preserve">1. README (this sheet)  2. Inputs  3. Sourced_Constants (full citation table)  4. Quantity_Calculation (main output)  5. Plumbing_Electrical_Provisional (manual entry - no source exists)  6. Notes_Assumptions (methodology, caveats, items NOT covered)</t>
  </si>
  <si>
    <t xml:space="preserve">Compatibility</t>
  </si>
  <si>
    <t xml:space="preserve">Built with plain arithmetic and IF() formulas only - no dynamic array or post-2007 functions - compatible with Microsoft Office 2007 (.xlsx).</t>
  </si>
  <si>
    <t xml:space="preserve">INPUTS</t>
  </si>
  <si>
    <t xml:space="preserve">Built-up Area (sqft)</t>
  </si>
  <si>
    <t xml:space="preserve">&lt;&lt; ENTER YOUR VALUE HERE. Example value shown = 1000 sqft.</t>
  </si>
  <si>
    <t xml:space="preserve">Built-up Area (sqm)</t>
  </si>
  <si>
    <t xml:space="preserve">Conversion factor 10.7639 sqft/sqm (real unit conversion).</t>
  </si>
  <si>
    <t xml:space="preserve">Wall System</t>
  </si>
  <si>
    <t xml:space="preserve">Block (15cm)</t>
  </si>
  <si>
    <t xml:space="preserve">Block (15cm) = Table 14.2 block-work system (Page_3). Brick (23cm) = Table 14.3 23cm brick-wall system (Page_5). See Notes_Assumptions for how this mapping was decided.</t>
  </si>
  <si>
    <t xml:space="preserve">Excavation loose-volume factor</t>
  </si>
  <si>
    <t xml:space="preserve">CPWD DAR benchmark range is 1.40-1.50 (Page_11, I3). Sheet's own field-practice figure (Page_10, A5/D5) is 1.50. Default set to 1.45 (mid-band); edit if you have site data.</t>
  </si>
  <si>
    <t xml:space="preserve">Backfill (plinth filling) loose-volume factor</t>
  </si>
  <si>
    <t xml:space="preserve">CPWD DAR benchmark range is 1.25-1.35 (Page_11, I4). Sheet's own field-practice figure (Page_10, A6/D6) is 1.50. Default set to 1.30 (mid-band); edit if you have site data.</t>
  </si>
  <si>
    <t xml:space="preserve">Item</t>
  </si>
  <si>
    <t xml:space="preserve">Category</t>
  </si>
  <si>
    <t xml:space="preserve">Value - Block System</t>
  </si>
  <si>
    <t xml:space="preserve">Value - Brick System</t>
  </si>
  <si>
    <t xml:space="preserve">Unit</t>
  </si>
  <si>
    <t xml:space="preserve">Source Sheet</t>
  </si>
  <si>
    <t xml:space="preserve">Source Cell</t>
  </si>
  <si>
    <t xml:space="preserve">Note</t>
  </si>
  <si>
    <t xml:space="preserve">EARTHWORK</t>
  </si>
  <si>
    <t xml:space="preserve">Excavation (pit, compacted)</t>
  </si>
  <si>
    <t xml:space="preserve">Earthwork</t>
  </si>
  <si>
    <t xml:space="preserve">cum/sqm</t>
  </si>
  <si>
    <t xml:space="preserve">Page_13</t>
  </si>
  <si>
    <t xml:space="preserve">C41</t>
  </si>
  <si>
    <t xml:space="preserve">Table 14.15</t>
  </si>
  <si>
    <t xml:space="preserve">Rubble - plinth soling</t>
  </si>
  <si>
    <t xml:space="preserve">Page_3</t>
  </si>
  <si>
    <t xml:space="preserve">D24</t>
  </si>
  <si>
    <t xml:space="preserve">Table 14.2</t>
  </si>
  <si>
    <t xml:space="preserve">Murum - plinth filling (compacted)</t>
  </si>
  <si>
    <t xml:space="preserve">D26</t>
  </si>
  <si>
    <t xml:space="preserve">CONCRETE (RCC)</t>
  </si>
  <si>
    <t xml:space="preserve">RCC below plinth (footing)</t>
  </si>
  <si>
    <t xml:space="preserve">Concrete</t>
  </si>
  <si>
    <t xml:space="preserve">C42</t>
  </si>
  <si>
    <t xml:space="preserve">RCC above plinth (columns/beams/slab)</t>
  </si>
  <si>
    <t xml:space="preserve">C43</t>
  </si>
  <si>
    <t xml:space="preserve">Cement rate for M20 nominal mix</t>
  </si>
  <si>
    <t xml:space="preserve">bags/cum</t>
  </si>
  <si>
    <t xml:space="preserve">G5 (cited)</t>
  </si>
  <si>
    <t xml:space="preserve">Sheet's own citation text states this rate for M15-M20</t>
  </si>
  <si>
    <t xml:space="preserve">Aggregate (Metal) for RCC</t>
  </si>
  <si>
    <t xml:space="preserve">D22</t>
  </si>
  <si>
    <t xml:space="preserve">Table 14.2; Table 14.3 states other materials same as 14.2</t>
  </si>
  <si>
    <t xml:space="preserve">Sand for RCC (component, cross-check only)</t>
  </si>
  <si>
    <t xml:space="preserve">Page_3 / Page_5</t>
  </si>
  <si>
    <t xml:space="preserve">D13 / D11</t>
  </si>
  <si>
    <t xml:space="preserve">Not used directly - Sand Total row below is the sourced total</t>
  </si>
  <si>
    <t xml:space="preserve">CEMENT (masonry / plaster / other)</t>
  </si>
  <si>
    <t xml:space="preserve">Cement - Masonry</t>
  </si>
  <si>
    <t xml:space="preserve">Cement</t>
  </si>
  <si>
    <t xml:space="preserve">bags/sqm</t>
  </si>
  <si>
    <t xml:space="preserve">D6 / D6</t>
  </si>
  <si>
    <t xml:space="preserve">Table 14.2 / 14.3</t>
  </si>
  <si>
    <t xml:space="preserve">Cement - Plastering</t>
  </si>
  <si>
    <t xml:space="preserve">D7 / D7</t>
  </si>
  <si>
    <t xml:space="preserve">Cement - Others (flooring/dado bedding)</t>
  </si>
  <si>
    <t xml:space="preserve">D8 / D8</t>
  </si>
  <si>
    <t xml:space="preserve">SAND</t>
  </si>
  <si>
    <t xml:space="preserve">Sand - Total</t>
  </si>
  <si>
    <t xml:space="preserve">Sand</t>
  </si>
  <si>
    <t xml:space="preserve">D20 / D18</t>
  </si>
  <si>
    <t xml:space="preserve">Table 14.2 / 14.3 (all-trades total)</t>
  </si>
  <si>
    <t xml:space="preserve">MASONRY - BRICKS / BLOCKS</t>
  </si>
  <si>
    <t xml:space="preserve">Bricks - Plinth (applies to both systems)</t>
  </si>
  <si>
    <t xml:space="preserve">Masonry</t>
  </si>
  <si>
    <t xml:space="preserve">Nos/sqm</t>
  </si>
  <si>
    <t xml:space="preserve">D28</t>
  </si>
  <si>
    <t xml:space="preserve">Table 14.2 - plinth brickwork used regardless of wall system</t>
  </si>
  <si>
    <t xml:space="preserve">Blocks - Wall (Block system only)</t>
  </si>
  <si>
    <t xml:space="preserve">D39</t>
  </si>
  <si>
    <t xml:space="preserve">Table 14.2 - N/A for brick system (set to 0)</t>
  </si>
  <si>
    <t xml:space="preserve">Bricks - Wall, ext+int (Brick system only)</t>
  </si>
  <si>
    <t xml:space="preserve">Page_5</t>
  </si>
  <si>
    <t xml:space="preserve">D21+D22</t>
  </si>
  <si>
    <t xml:space="preserve">86+43=129, matches D23 Total (172) minus D20 plinth (43)</t>
  </si>
  <si>
    <t xml:space="preserve">STEEL (Table 14.14)</t>
  </si>
  <si>
    <t xml:space="preserve">Steel - Footing</t>
  </si>
  <si>
    <t xml:space="preserve">Steel</t>
  </si>
  <si>
    <t xml:space="preserve">kg/sqm</t>
  </si>
  <si>
    <t xml:space="preserve">C25</t>
  </si>
  <si>
    <t xml:space="preserve">Table 14.14</t>
  </si>
  <si>
    <t xml:space="preserve">Steel - Columns up to plinth</t>
  </si>
  <si>
    <t xml:space="preserve">C26</t>
  </si>
  <si>
    <t xml:space="preserve">Steel - Tie beam</t>
  </si>
  <si>
    <t xml:space="preserve">C27</t>
  </si>
  <si>
    <t xml:space="preserve">Steel - Columns (superstructure)</t>
  </si>
  <si>
    <t xml:space="preserve">C28</t>
  </si>
  <si>
    <t xml:space="preserve">Steel - Slab</t>
  </si>
  <si>
    <t xml:space="preserve">C29</t>
  </si>
  <si>
    <t xml:space="preserve">Steel - Beam</t>
  </si>
  <si>
    <t xml:space="preserve">C30</t>
  </si>
  <si>
    <t xml:space="preserve">Steel - Chajja/loft/lintel</t>
  </si>
  <si>
    <t xml:space="preserve">C31</t>
  </si>
  <si>
    <t xml:space="preserve">Steel - Overhead water tank</t>
  </si>
  <si>
    <t xml:space="preserve">C32</t>
  </si>
  <si>
    <t xml:space="preserve">PLASTER</t>
  </si>
  <si>
    <t xml:space="preserve">Plaster - Internal (area)</t>
  </si>
  <si>
    <t xml:space="preserve">Plaster</t>
  </si>
  <si>
    <t xml:space="preserve">sqm/sqm</t>
  </si>
  <si>
    <t xml:space="preserve">C46</t>
  </si>
  <si>
    <t xml:space="preserve">Plaster - External (area)</t>
  </si>
  <si>
    <t xml:space="preserve">C47</t>
  </si>
  <si>
    <t xml:space="preserve">Sanla / lime punning finish</t>
  </si>
  <si>
    <t xml:space="preserve">D43</t>
  </si>
  <si>
    <t xml:space="preserve">LIME ITEM - see Notes_Assumptions</t>
  </si>
  <si>
    <t xml:space="preserve">FLOORING &amp; TILING</t>
  </si>
  <si>
    <t xml:space="preserve">Lime - flooring bedding</t>
  </si>
  <si>
    <t xml:space="preserve">Flooring</t>
  </si>
  <si>
    <t xml:space="preserve">D44</t>
  </si>
  <si>
    <t xml:space="preserve">Tiles - Rooms/Balcony (mosaic)</t>
  </si>
  <si>
    <t xml:space="preserve">D47</t>
  </si>
  <si>
    <t xml:space="preserve">Tiles - Bath/Toilet floor</t>
  </si>
  <si>
    <t xml:space="preserve">Page_4</t>
  </si>
  <si>
    <t xml:space="preserve">D6</t>
  </si>
  <si>
    <t xml:space="preserve">Table 14.2 (Part 2)</t>
  </si>
  <si>
    <t xml:space="preserve">Tiles - Dado Bath/WC (total)</t>
  </si>
  <si>
    <t xml:space="preserve">D10</t>
  </si>
  <si>
    <t xml:space="preserve">Tiles - Parking (chequered)</t>
  </si>
  <si>
    <t xml:space="preserve">D13</t>
  </si>
  <si>
    <t xml:space="preserve">Staircase stone flooring (total)</t>
  </si>
  <si>
    <t xml:space="preserve">D18</t>
  </si>
  <si>
    <t xml:space="preserve">Mosaic skirting</t>
  </si>
  <si>
    <t xml:space="preserve">rm/sqm</t>
  </si>
  <si>
    <t xml:space="preserve">D5</t>
  </si>
  <si>
    <t xml:space="preserve">Kitchen platform (running length)</t>
  </si>
  <si>
    <t xml:space="preserve">D12</t>
  </si>
  <si>
    <t xml:space="preserve">DOORS</t>
  </si>
  <si>
    <t xml:space="preserve">Door frames (count)</t>
  </si>
  <si>
    <t xml:space="preserve">Doors</t>
  </si>
  <si>
    <t xml:space="preserve">D21</t>
  </si>
  <si>
    <t xml:space="preserve">Door shutter area</t>
  </si>
  <si>
    <t xml:space="preserve">WINDOWS</t>
  </si>
  <si>
    <t xml:space="preserve">Window opening area</t>
  </si>
  <si>
    <t xml:space="preserve">Windows</t>
  </si>
  <si>
    <t xml:space="preserve">D45</t>
  </si>
  <si>
    <t xml:space="preserve">Window glass</t>
  </si>
  <si>
    <t xml:space="preserve">D46</t>
  </si>
  <si>
    <t xml:space="preserve">PAINT</t>
  </si>
  <si>
    <t xml:space="preserve">Oil paint base area (frames/grills/windows)</t>
  </si>
  <si>
    <t xml:space="preserve">Paint</t>
  </si>
  <si>
    <t xml:space="preserve">C48</t>
  </si>
  <si>
    <t xml:space="preserve">Painted-area factor - Flush door</t>
  </si>
  <si>
    <t xml:space="preserve">multiplier</t>
  </si>
  <si>
    <t xml:space="preserve">Page_10</t>
  </si>
  <si>
    <t xml:space="preserve">A30</t>
  </si>
  <si>
    <t xml:space="preserve">Sheet's own stated multiplying factor</t>
  </si>
  <si>
    <t xml:space="preserve">Painted-area factor - M.S. window</t>
  </si>
  <si>
    <t xml:space="preserve">WATERPROOFING</t>
  </si>
  <si>
    <t xml:space="preserve">Waterproofing area</t>
  </si>
  <si>
    <t xml:space="preserve">Waterproof</t>
  </si>
  <si>
    <t xml:space="preserve">C50</t>
  </si>
  <si>
    <t xml:space="preserve">Brickbats for waterproofing</t>
  </si>
  <si>
    <t xml:space="preserve">D20</t>
  </si>
  <si>
    <t xml:space="preserve">MISCELLANEOUS</t>
  </si>
  <si>
    <t xml:space="preserve">Concrete grills (staircase ventilation)</t>
  </si>
  <si>
    <t xml:space="preserve">Misc</t>
  </si>
  <si>
    <t xml:space="preserve">D23</t>
  </si>
  <si>
    <t xml:space="preserve">Table 14.2 (Part 2); sheet flags this as a corrected typo</t>
  </si>
  <si>
    <t xml:space="preserve">SHUTTERING (Table 14.13 - per sft, always same regardless of wall system)</t>
  </si>
  <si>
    <t xml:space="preserve">Plywood sheets</t>
  </si>
  <si>
    <t xml:space="preserve">Shuttering</t>
  </si>
  <si>
    <t xml:space="preserve">Nos/sft</t>
  </si>
  <si>
    <t xml:space="preserve">D8</t>
  </si>
  <si>
    <t xml:space="preserve">Table 14.13</t>
  </si>
  <si>
    <t xml:space="preserve">Battens (per plywood sheet)</t>
  </si>
  <si>
    <t xml:space="preserve">rft/sheet</t>
  </si>
  <si>
    <t xml:space="preserve">D9</t>
  </si>
  <si>
    <t xml:space="preserve">Chained formula - see Quantity_Calculation</t>
  </si>
  <si>
    <t xml:space="preserve">Beam bottom planks</t>
  </si>
  <si>
    <t xml:space="preserve">rft/sft</t>
  </si>
  <si>
    <t xml:space="preserve">Props for beams (per rft of beam plank)</t>
  </si>
  <si>
    <t xml:space="preserve">Nos/rft</t>
  </si>
  <si>
    <t xml:space="preserve">D11</t>
  </si>
  <si>
    <t xml:space="preserve">Props for slab</t>
  </si>
  <si>
    <t xml:space="preserve">Batten for slab plates</t>
  </si>
  <si>
    <t xml:space="preserve">Steel plates (60x90cm)</t>
  </si>
  <si>
    <t xml:space="preserve">D14</t>
  </si>
  <si>
    <t xml:space="preserve">Wire nails</t>
  </si>
  <si>
    <t xml:space="preserve">kg/sft</t>
  </si>
  <si>
    <t xml:space="preserve">D15</t>
  </si>
  <si>
    <t xml:space="preserve">Shuttering oil</t>
  </si>
  <si>
    <t xml:space="preserve">L/sft</t>
  </si>
  <si>
    <t xml:space="preserve">D16</t>
  </si>
  <si>
    <t xml:space="preserve">M.S. clamps (Shikanja)</t>
  </si>
  <si>
    <t xml:space="preserve">D17</t>
  </si>
  <si>
    <t xml:space="preserve">QUANTITY CALCULATION</t>
  </si>
  <si>
    <t xml:space="preserve">Quantity</t>
  </si>
  <si>
    <t xml:space="preserve">Formula basis / traceability</t>
  </si>
  <si>
    <t xml:space="preserve">Excavation - compacted pit volume</t>
  </si>
  <si>
    <t xml:space="preserve">cum</t>
  </si>
  <si>
    <t xml:space="preserve">Sourced_Constants: Excavation (pit, compacted)</t>
  </si>
  <si>
    <t xml:space="preserve">Excavation - loose volume for disposal</t>
  </si>
  <si>
    <t xml:space="preserve">Compacted vol x Inputs!Excavation loose factor (Page_10 A5 / Page_11 I3)</t>
  </si>
  <si>
    <t xml:space="preserve">Sourced_Constants: Rubble - plinth soling</t>
  </si>
  <si>
    <t xml:space="preserve">Murum - plinth filling, compacted</t>
  </si>
  <si>
    <t xml:space="preserve">Sourced_Constants: Murum - plinth filling (compacted)</t>
  </si>
  <si>
    <t xml:space="preserve">Murum - plinth filling, loose (to procure)</t>
  </si>
  <si>
    <t xml:space="preserve">Compacted vol x Inputs!Backfill loose factor (Page_10 A6 / Page_11 I4)</t>
  </si>
  <si>
    <t xml:space="preserve">RCC below plinth (footing concrete)</t>
  </si>
  <si>
    <t xml:space="preserve">Sourced_Constants: RCC below plinth (footing)</t>
  </si>
  <si>
    <t xml:space="preserve">RCC above plinth (columns+beams+slab)</t>
  </si>
  <si>
    <t xml:space="preserve">Sourced_Constants: RCC above plinth (columns/beams/slab)</t>
  </si>
  <si>
    <t xml:space="preserve">RCC - Total</t>
  </si>
  <si>
    <t xml:space="preserve">Sum of above two rows</t>
  </si>
  <si>
    <t xml:space="preserve">Aggregate (coarse) for RCC</t>
  </si>
  <si>
    <t xml:space="preserve">Sourced_Constants: Aggregate (Metal) for RCC</t>
  </si>
  <si>
    <t xml:space="preserve">CEMENT (M20 baseline)</t>
  </si>
  <si>
    <t xml:space="preserve">Cement - for RCC (M20 basis)</t>
  </si>
  <si>
    <t xml:space="preserve">bags</t>
  </si>
  <si>
    <t xml:space="preserve">(RCC below+above plinth vol) x 6.4 bags/cum (Page_3 G5 cited rate) - see Notes_Assumptions for M20 derivation</t>
  </si>
  <si>
    <t xml:space="preserve">Cement - for Masonry</t>
  </si>
  <si>
    <t xml:space="preserve">Sourced_Constants: Cement - Masonry (wall-system dependent)</t>
  </si>
  <si>
    <t xml:space="preserve">Cement - for Plastering</t>
  </si>
  <si>
    <t xml:space="preserve">Sourced_Constants: Cement - Plastering (wall-system dependent)</t>
  </si>
  <si>
    <t xml:space="preserve">Cement - for Others (flooring/dado bedding)</t>
  </si>
  <si>
    <t xml:space="preserve">Sourced_Constants: Cement - Others (wall-system dependent)</t>
  </si>
  <si>
    <t xml:space="preserve">Cement - TOTAL</t>
  </si>
  <si>
    <t xml:space="preserve">Sum of Cement rows above (M20 baseline, per user instruction)</t>
  </si>
  <si>
    <t xml:space="preserve">Sand - Total (all trades)</t>
  </si>
  <si>
    <t xml:space="preserve">Sourced_Constants: Sand - Total (wall-system dependent)</t>
  </si>
  <si>
    <t xml:space="preserve">Bricks - Plinth masonry</t>
  </si>
  <si>
    <t xml:space="preserve">Nos</t>
  </si>
  <si>
    <t xml:space="preserve">Sourced_Constants: Bricks - Plinth (applies to both systems)</t>
  </si>
  <si>
    <t xml:space="preserve">Blocks - Wall (if Block system selected)</t>
  </si>
  <si>
    <t xml:space="preserve">IF(Inputs wall system = Block, Sourced_Constants C20, else D20). Shows 0 automatically when Brick is selected.</t>
  </si>
  <si>
    <t xml:space="preserve">Bricks - Wall, ext+int (if Brick system selected)</t>
  </si>
  <si>
    <t xml:space="preserve">IF(Inputs wall system = Block, Sourced_Constants C21, else D21). Shows 0 automatically when Block is selected.</t>
  </si>
  <si>
    <t xml:space="preserve">kg</t>
  </si>
  <si>
    <t xml:space="preserve">Sourced_Constants: Steel - Footing</t>
  </si>
  <si>
    <t xml:space="preserve">Sourced_Constants: Steel - Columns up to plinth</t>
  </si>
  <si>
    <t xml:space="preserve">Sourced_Constants: Steel - Tie beam</t>
  </si>
  <si>
    <t xml:space="preserve">Sourced_Constants: Steel - Columns (superstructure)</t>
  </si>
  <si>
    <t xml:space="preserve">Sourced_Constants: Steel - Slab</t>
  </si>
  <si>
    <t xml:space="preserve">Sourced_Constants: Steel - Beam</t>
  </si>
  <si>
    <t xml:space="preserve">Sourced_Constants: Steel - Chajja/loft/lintel</t>
  </si>
  <si>
    <t xml:space="preserve">Sourced_Constants: Steel - Overhead water tank</t>
  </si>
  <si>
    <t xml:space="preserve">Steel - TOTAL</t>
  </si>
  <si>
    <t xml:space="preserve">Sum of Steel rows above</t>
  </si>
  <si>
    <t xml:space="preserve">sqm</t>
  </si>
  <si>
    <t xml:space="preserve">Sourced_Constants: Plaster - Internal (area)</t>
  </si>
  <si>
    <t xml:space="preserve">Sourced_Constants: Plaster - External (area)</t>
  </si>
  <si>
    <t xml:space="preserve">Sanla / lime punning finish (cement)</t>
  </si>
  <si>
    <t xml:space="preserve">Sourced_Constants: Sanla / lime punning finish - LIME ITEM, see Notes_Assumptions</t>
  </si>
  <si>
    <t xml:space="preserve">Lime - for flooring bedding</t>
  </si>
  <si>
    <t xml:space="preserve">Sourced_Constants: Lime - flooring bedding - LIME ITEM, see Notes_Assumptions</t>
  </si>
  <si>
    <t xml:space="preserve">Sourced_Constants: Tiles - Rooms/Balcony (mosaic)</t>
  </si>
  <si>
    <t xml:space="preserve">Sourced_Constants: Tiles - Bath/Toilet floor</t>
  </si>
  <si>
    <t xml:space="preserve">Sourced_Constants: Tiles - Dado Bath/WC (total)</t>
  </si>
  <si>
    <t xml:space="preserve">Sourced_Constants: Tiles - Parking (chequered)</t>
  </si>
  <si>
    <t xml:space="preserve">Sourced_Constants: Staircase stone flooring (total)</t>
  </si>
  <si>
    <t xml:space="preserve">rm</t>
  </si>
  <si>
    <t xml:space="preserve">Sourced_Constants: Mosaic skirting</t>
  </si>
  <si>
    <t xml:space="preserve">Sourced_Constants: Kitchen platform (running length)</t>
  </si>
  <si>
    <t xml:space="preserve">Sourced_Constants: Door frames (count)</t>
  </si>
  <si>
    <t xml:space="preserve">Sourced_Constants: Door shutter area</t>
  </si>
  <si>
    <t xml:space="preserve">Sourced_Constants: Window opening area</t>
  </si>
  <si>
    <t xml:space="preserve">Sourced_Constants: Window glass</t>
  </si>
  <si>
    <t xml:space="preserve">Oil paint - base area (frames/grills/windows)</t>
  </si>
  <si>
    <t xml:space="preserve">Sourced_Constants: Oil paint base area (frames/grills/windows)</t>
  </si>
  <si>
    <t xml:space="preserve">Paint - Flush door shutters (painted area, both sides)</t>
  </si>
  <si>
    <t xml:space="preserve">Door shutter area x Flush-door multiplying factor (Page_10, A30)</t>
  </si>
  <si>
    <t xml:space="preserve">Paint - M.S. window (painted area, both sides)</t>
  </si>
  <si>
    <t xml:space="preserve">Window opening area x M.S. window multiplying factor (Page_10, A30)</t>
  </si>
  <si>
    <t xml:space="preserve">Internal wall paint/distemper (same area as internal plaster)</t>
  </si>
  <si>
    <t xml:space="preserve">Same area constant as Plaster - Internal (Page_13, C46)</t>
  </si>
  <si>
    <t xml:space="preserve">External wall paint (same area as external plaster)</t>
  </si>
  <si>
    <t xml:space="preserve">Same area constant as Plaster - External (Page_13, C47)</t>
  </si>
  <si>
    <t xml:space="preserve">Sourced_Constants: Waterproofing area</t>
  </si>
  <si>
    <t xml:space="preserve">Sourced_Constants: Brickbats for waterproofing</t>
  </si>
  <si>
    <t xml:space="preserve">Sourced_Constants: Concrete grills (staircase ventilation)</t>
  </si>
  <si>
    <t xml:space="preserve">SHUTTERING (per sft, Table 14.13)</t>
  </si>
  <si>
    <t xml:space="preserve">Plywood sheets (12mm, 2.44x1.22m)</t>
  </si>
  <si>
    <t xml:space="preserve">Sourced_Constants: Plywood sheets</t>
  </si>
  <si>
    <t xml:space="preserve">Silver oak battens (75x40mm)</t>
  </si>
  <si>
    <t xml:space="preserve">rft</t>
  </si>
  <si>
    <t xml:space="preserve">Plywood sheet count x Battens-per-sheet (Page_13, D9 - chained formula, matches sheet's own method)</t>
  </si>
  <si>
    <t xml:space="preserve">Beam bottom planks (40mm thick)</t>
  </si>
  <si>
    <t xml:space="preserve">Sourced_Constants: Beam bottom planks</t>
  </si>
  <si>
    <t xml:space="preserve">Wooden props - for beams</t>
  </si>
  <si>
    <t xml:space="preserve">Beam plank length x Props-per-rft (Page_13, D11 - chained formula, matches sheet's own method)</t>
  </si>
  <si>
    <t xml:space="preserve">Wooden props - for slab</t>
  </si>
  <si>
    <t xml:space="preserve">Sourced_Constants: Props for slab</t>
  </si>
  <si>
    <t xml:space="preserve">Batten for slab plates (75x75mm)</t>
  </si>
  <si>
    <t xml:space="preserve">Sourced_Constants: Batten for slab plates</t>
  </si>
  <si>
    <t xml:space="preserve">Sourced_Constants: Steel plates (60x90cm)</t>
  </si>
  <si>
    <t xml:space="preserve">Sourced_Constants: Wire nails</t>
  </si>
  <si>
    <t xml:space="preserve">litres</t>
  </si>
  <si>
    <t xml:space="preserve">Sourced_Constants: Shuttering oil</t>
  </si>
  <si>
    <t xml:space="preserve">Sourced_Constants: M.S. clamps (Shikanja)</t>
  </si>
  <si>
    <t xml:space="preserve">PLUMBING &amp; ELECTRICAL - PROVISIONAL (NO SOURCE IN THUMB-RULE WORKBOOK)</t>
  </si>
  <si>
    <t xml:space="preserve">Quantity (fill in manually)</t>
  </si>
  <si>
    <t xml:space="preserve">This entire sheet is a placeholder. The source workbook gives only qualitative specifications for plumbing (Page_2, C23/D23) and electrical work (Page_2, C24/D24) - no per-sqm quantity constant exists anywhere in Pages 1-13 for these trades. Every orange cell below is blank on purpose - do NOT treat a blank as zero. Fill in from your own drawings/BOQ; nothing here is calculated or sourced.</t>
  </si>
  <si>
    <t xml:space="preserve">PLUMBING</t>
  </si>
  <si>
    <t xml:space="preserve">GI pipe - running length (water supply)</t>
  </si>
  <si>
    <t xml:space="preserve">No source in workbook - manual entry</t>
  </si>
  <si>
    <t xml:space="preserve">CPVC/UPVC pipe - running length (water supply)</t>
  </si>
  <si>
    <t xml:space="preserve">PVC-SWR pipe - running length (drainage)</t>
  </si>
  <si>
    <t xml:space="preserve">W.C. (water closet) - count</t>
  </si>
  <si>
    <t xml:space="preserve">Wash basin - count</t>
  </si>
  <si>
    <t xml:space="preserve">Kitchen sink - count</t>
  </si>
  <si>
    <t xml:space="preserve">CP fittings (taps, mixers, showers) - count</t>
  </si>
  <si>
    <t xml:space="preserve">Stop cocks / valves - count</t>
  </si>
  <si>
    <t xml:space="preserve">Overhead tank - capacity (litres)</t>
  </si>
  <si>
    <t xml:space="preserve">Underground sump - capacity (litres)</t>
  </si>
  <si>
    <t xml:space="preserve">ELECTRICAL</t>
  </si>
  <si>
    <t xml:space="preserve">Conduit (PVC/FRLS) - running length</t>
  </si>
  <si>
    <t xml:space="preserve">Copper wire - running length (by gauge)</t>
  </si>
  <si>
    <t xml:space="preserve">Light points - count</t>
  </si>
  <si>
    <t xml:space="preserve">Fan points - count</t>
  </si>
  <si>
    <t xml:space="preserve">Plug/socket points (5A) - count</t>
  </si>
  <si>
    <t xml:space="preserve">Plug/socket points (15A) - count</t>
  </si>
  <si>
    <t xml:space="preserve">Distribution board (DB) - count / rating</t>
  </si>
  <si>
    <t xml:space="preserve">MCB/RCCB - count</t>
  </si>
  <si>
    <t xml:space="preserve">Switchboard/switch plates - count</t>
  </si>
  <si>
    <t xml:space="preserve">Earthing - count of pits</t>
  </si>
  <si>
    <t xml:space="preserve">NOTES, ASSUMPTIONS &amp; ITEMS NOT COVERED</t>
  </si>
  <si>
    <t xml:space="preserve">Source sheets used</t>
  </si>
  <si>
    <t xml:space="preserve">Pages 1-5 and 9-13 of the uploaded Thumb_rules_converted_260831.xlsx. Pages 6, 7, and 8 were excluded per instruction (they are cost/percentage tables - e.g. plinth area rate money values, material cost-share percentages - not physical material quantities, and several of their CPWD/IS citations were found to be inaccurate during an earlier audit of this workbook).</t>
  </si>
  <si>
    <t xml:space="preserve">Cement - M20 baseline derivation</t>
  </si>
  <si>
    <t xml:space="preserve">The source sheet's raw 'Cement for RCC' figure (Page_3, D5 = 1.94 bags/sqm) is stated against an M15 nominal mix (Page_2, C13). Per your instruction to use M20 as baseline, this workbook instead computes: (RCC below plinth + RCC above plinth, cum/sqm, Page_13 C42+C43) x 6.4 bags/cum. The 6.4 bags/cum rate is the exact figure the source sheet's own citation states for the M15-M20 range (Page_3, G5: '@ 6.4 bags/cum (M15-M20)'). The result (2.15 bags/sqm for RCC alone) was cross-checked and falls inside CPWD's own published M20 benchmark band for total cement (Page_3, F9: '4.10-4.50 bags/sqm for M20'), once masonry+plaster+other cement is added. This was NOT taken from a single sourced cell - it is a derived calculation from two other sourced cells, and is computed live by formula in Quantity_Calculation, not hardcoded.</t>
  </si>
  <si>
    <t xml:space="preserve">Wall system mapping (Block vs Brick)</t>
  </si>
  <si>
    <t xml:space="preserve">Your two options map to two different tables in the source workbook: 'Block (15cm)' = Table 14.2's block-work figures (Page_3), which is the table's primary basis; 'Brick (23cm)' = Table 14.3 (Page_5), a wholly separate 23cm-thick brick wall system with its own cement/sand/brick totals. Note Table 14.2 (Page_3) ALSO lists brick options for a 15cm-thick wall (rows 28-35) as an alternate to blocks within the same wall thickness - those 15cm brick figures are NOT used by this calculator's Brick option, since you asked for a binary block-vs-brick choice and Table 14.3's 23cm brick system is the workbook's only fully self-contained brick-specific table (own cement, sand, and brick-count totals, not mixed with block figures).</t>
  </si>
  <si>
    <t xml:space="preserve">Plinth bricks - applies regardless of wall system</t>
  </si>
  <si>
    <t xml:space="preserve">Page_3's plinth brickwork line (D28 = 43 Nos/sqm) is added for BOTH wall systems, since the source workbook gives no block-based alternative for plinth masonry - only bricks are shown for this specific item in Table 14.2.</t>
  </si>
  <si>
    <t xml:space="preserve">Lime items - flagged, not removed or replaced</t>
  </si>
  <si>
    <t xml:space="preserve">Two lime-consuming line items exist in the source data: Sanla/lime punning finish (Page_3, D43 = 0.27 bags/sqm) and Lime for flooring bedding (Page_3, D44 = 0.16 bags/sqm). Per your note that modern construction commonly no longer uses lime, both rows remain in Quantity_Calculation (since removing sourced data would be fabrication) but are labeled 'LIME ITEM' in the traceability column. No cement or plasticizer substitute figure has been added, because no sourced replacement constant exists in the workbook - verify current site/vendor practice before ordering against these two rows.</t>
  </si>
  <si>
    <t xml:space="preserve">Plastering - flat average used, not spec-selectable</t>
  </si>
  <si>
    <t xml:space="preserve">Per your instruction, the plastering cement figure uses the flat Table 14.2/14.3 average (Block: 1.18 bags/sqm, Brick: 1.61 bags/sqm) rather than the more granular Page_12 (Table 14.10, Part E) spec-by-spec rates (Sanla 12.5mm/20mm, sand-faced single/double coat, each at 3 different mix ratios). Those Page_12 rates remain unused in this workbook.</t>
  </si>
  <si>
    <t xml:space="preserve">Excavation &amp; backfill - loose-volume factors</t>
  </si>
  <si>
    <t xml:space="preserve">The source workbook gives two different multipliers for converting compacted volume to loose (procurement) volume: the sheet's own stated field-practice figure (Page_10, A5/A6: 1.5x for both excavation and backfill) versus CPWD's own DAR benchmark range (Page_11, I3: 1.40-1.50x for excavation; I4: 1.25-1.35x for backfill). This workbook defaults to the CPWD DAR mid-band values (1.45 and 1.30 respectively) as EDITABLE inputs on the Inputs sheet, not hardcoded - change them if you want to match the sheet's own 1.5x field-practice figure instead.</t>
  </si>
  <si>
    <t xml:space="preserve">Paint multiplying factors</t>
  </si>
  <si>
    <t xml:space="preserve">Sourced from the sheet's own stated factors (Page_10, A30: Flush door 2.25x, M.S. window 1.5x), not the slightly different CPWD citation column figures on the same row (Page_10, C30: Flush door 2.0x, M.S. window 1.5x) - the sheet's own original data column was used for consistency with the rest of the calculator, which sources from original-data columns throughout, not citation columns.</t>
  </si>
  <si>
    <t xml:space="preserve">Items with NO source anywhere in the workbook</t>
  </si>
  <si>
    <t xml:space="preserve">Plumbing and electrical quantities (see Plumbing_Electrical_Provisional sheet - manual entry only). Beyond those, the following are also absent from every page of the source workbook and are NOT included anywhere in this calculator: damp-proof course (DPC), anti-termite treatment, PCC blinding/bed layer under footings (may or may not be folded into the 'RCC below plinth' figure - unclear from the source), compound/boundary wall, gate, external paving, site development and landscaping (explicitly excluded by the source book's own scope note, Page_2 A4), sanitary fixture counts, lift/elevator, fire-fighting systems, false ceiling/POP (mentioned only qualitatively in the source, Page_2 D16, with no quantity constant), waterproofing chemical/admixture dosage (mentioned qualitatively only), parapet wall/terrace railing (may or may not be included within 'External Masonry 0.9 sqm/sqm' - unclear from source), the overhead tank's own RCC/concrete volume (only its steel is quantified in the source, at 0.55 kg/sqm), and any structural roof truss/steel roofing system (source assumes RCC-framed construction throughout).</t>
  </si>
  <si>
    <t xml:space="preserve">All formulas use only SUM, IF, and basic arithmetic operators - no dynamic array or post-2007 functions - for Microsoft Office 2007 (.xlsx) compatibility.</t>
  </si>
</sst>
</file>

<file path=xl/styles.xml><?xml version="1.0" encoding="utf-8"?>
<styleSheet xmlns="http://schemas.openxmlformats.org/spreadsheetml/2006/main">
  <numFmts count="3">
    <numFmt numFmtId="164" formatCode="General"/>
    <numFmt numFmtId="165" formatCode="General"/>
    <numFmt numFmtId="166"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0"/>
      <color rgb="FF000000"/>
      <name val="Arial"/>
      <family val="0"/>
      <charset val="1"/>
    </font>
    <font>
      <sz val="10"/>
      <color rgb="FF000000"/>
      <name val="Arial"/>
      <family val="0"/>
      <charset val="1"/>
    </font>
    <font>
      <b val="true"/>
      <sz val="11"/>
      <color rgb="FFFFFFFF"/>
      <name val="Arial"/>
      <family val="0"/>
      <charset val="1"/>
    </font>
    <font>
      <b val="true"/>
      <sz val="10"/>
      <color rgb="FF0000FF"/>
      <name val="Arial"/>
      <family val="0"/>
      <charset val="1"/>
    </font>
    <font>
      <i val="true"/>
      <sz val="9"/>
      <color rgb="FF808080"/>
      <name val="Arial"/>
      <family val="0"/>
      <charset val="1"/>
    </font>
    <font>
      <b val="true"/>
      <sz val="10"/>
      <color rgb="FF1F4E78"/>
      <name val="Arial"/>
      <family val="0"/>
      <charset val="1"/>
    </font>
    <font>
      <sz val="10"/>
      <color rgb="FF0000FF"/>
      <name val="Arial"/>
      <family val="0"/>
      <charset val="1"/>
    </font>
    <font>
      <i val="true"/>
      <sz val="9"/>
      <color rgb="FFC0504D"/>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FFF2CC"/>
        <bgColor rgb="FFFCE4D6"/>
      </patternFill>
    </fill>
    <fill>
      <patternFill patternType="solid">
        <fgColor rgb="FFD9E1F2"/>
        <bgColor rgb="FFE2EFDA"/>
      </patternFill>
    </fill>
    <fill>
      <patternFill patternType="solid">
        <fgColor rgb="FFE2EFDA"/>
        <bgColor rgb="FFD9E1F2"/>
      </patternFill>
    </fill>
    <fill>
      <patternFill patternType="solid">
        <fgColor rgb="FFFCE4D6"/>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2"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8" fillId="3" borderId="1" xfId="0" applyFont="true" applyBorder="true" applyAlignment="true" applyProtection="true">
      <alignment horizontal="general" vertical="top" textRotation="0" wrapText="tru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5" fontId="6" fillId="0" borderId="1" xfId="0" applyFont="true" applyBorder="true" applyAlignment="true" applyProtection="true">
      <alignment horizontal="general" vertical="top" textRotation="0" wrapText="true" indent="0" shrinkToFit="false"/>
      <protection locked="true" hidden="false"/>
    </xf>
    <xf numFmtId="164" fontId="10" fillId="4"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6" fontId="6" fillId="0" borderId="1" xfId="0" applyFont="true" applyBorder="true" applyAlignment="true" applyProtection="true">
      <alignment horizontal="general" vertical="top" textRotation="0" wrapText="true" indent="0" shrinkToFit="false"/>
      <protection locked="true" hidden="false"/>
    </xf>
    <xf numFmtId="164" fontId="5" fillId="5" borderId="1" xfId="0" applyFont="true" applyBorder="true" applyAlignment="true" applyProtection="true">
      <alignment horizontal="general" vertical="top" textRotation="0" wrapText="true" indent="0" shrinkToFit="false"/>
      <protection locked="true" hidden="false"/>
    </xf>
    <xf numFmtId="166" fontId="5" fillId="5" borderId="1" xfId="0" applyFont="true" applyBorder="true" applyAlignment="true" applyProtection="true">
      <alignment horizontal="general" vertical="top" textRotation="0" wrapText="true" indent="0" shrinkToFit="false"/>
      <protection locked="true" hidden="false"/>
    </xf>
    <xf numFmtId="164" fontId="9" fillId="5" borderId="1" xfId="0" applyFont="true" applyBorder="true" applyAlignment="true" applyProtection="true">
      <alignment horizontal="general" vertical="top" textRotation="0" wrapText="true" indent="0" shrinkToFit="false"/>
      <protection locked="true" hidden="false"/>
    </xf>
    <xf numFmtId="164" fontId="12" fillId="0" borderId="0" xfId="0" applyFont="true" applyBorder="true" applyAlignment="true" applyProtection="true">
      <alignment horizontal="general" vertical="top" textRotation="0" wrapText="true" indent="0" shrinkToFit="false"/>
      <protection locked="true" hidden="false"/>
    </xf>
    <xf numFmtId="164" fontId="0" fillId="6" borderId="1" xfId="0" applyFont="false" applyBorder="true" applyAlignment="true" applyProtection="true">
      <alignment horizontal="general" vertical="top" textRotation="0" wrapText="tru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100"/>
  </cols>
  <sheetData>
    <row r="1" customFormat="false" ht="17.25" hidden="false" customHeight="true" outlineLevel="0" collapsed="false">
      <c r="A1" s="2" t="s">
        <v>0</v>
      </c>
      <c r="B1" s="2"/>
    </row>
    <row r="3" customFormat="false" ht="45" hidden="false" customHeight="true" outlineLevel="0" collapsed="false">
      <c r="A3" s="3" t="s">
        <v>1</v>
      </c>
      <c r="B3" s="4" t="s">
        <v>2</v>
      </c>
    </row>
    <row r="5" customFormat="false" ht="45" hidden="false" customHeight="true" outlineLevel="0" collapsed="false">
      <c r="A5" s="3" t="s">
        <v>3</v>
      </c>
      <c r="B5" s="4" t="s">
        <v>4</v>
      </c>
    </row>
    <row r="7" customFormat="false" ht="45" hidden="false" customHeight="true" outlineLevel="0" collapsed="false">
      <c r="A7" s="3" t="s">
        <v>5</v>
      </c>
      <c r="B7" s="4" t="s">
        <v>6</v>
      </c>
    </row>
    <row r="9" customFormat="false" ht="45" hidden="false" customHeight="true" outlineLevel="0" collapsed="false">
      <c r="A9" s="3" t="s">
        <v>7</v>
      </c>
      <c r="B9" s="4" t="s">
        <v>8</v>
      </c>
    </row>
    <row r="11" customFormat="false" ht="45" hidden="false" customHeight="true" outlineLevel="0" collapsed="false">
      <c r="A11" s="3" t="s">
        <v>9</v>
      </c>
      <c r="B11" s="4" t="s">
        <v>10</v>
      </c>
    </row>
    <row r="13" customFormat="false" ht="45" hidden="false" customHeight="true" outlineLevel="0" collapsed="false">
      <c r="A13" s="3" t="s">
        <v>11</v>
      </c>
      <c r="B13" s="4" t="s">
        <v>12</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22"/>
    <col collapsed="false" customWidth="true" hidden="false" outlineLevel="0" max="3" min="3" style="1" width="60"/>
  </cols>
  <sheetData>
    <row r="1" customFormat="false" ht="15" hidden="false" customHeight="true" outlineLevel="0" collapsed="false">
      <c r="A1" s="5" t="s">
        <v>13</v>
      </c>
      <c r="B1" s="5"/>
      <c r="C1" s="5"/>
    </row>
    <row r="2" customFormat="false" ht="30" hidden="false" customHeight="true" outlineLevel="0" collapsed="false">
      <c r="A2" s="6" t="s">
        <v>14</v>
      </c>
      <c r="B2" s="7" t="n">
        <v>1000</v>
      </c>
      <c r="C2" s="8" t="s">
        <v>15</v>
      </c>
    </row>
    <row r="3" customFormat="false" ht="30" hidden="false" customHeight="true" outlineLevel="0" collapsed="false">
      <c r="A3" s="6" t="s">
        <v>16</v>
      </c>
      <c r="B3" s="9" t="n">
        <f aca="false">B2/10.7639</f>
        <v>92.9031299064466</v>
      </c>
      <c r="C3" s="6" t="s">
        <v>17</v>
      </c>
    </row>
    <row r="4" customFormat="false" ht="30" hidden="false" customHeight="true" outlineLevel="0" collapsed="false">
      <c r="A4" s="6" t="s">
        <v>18</v>
      </c>
      <c r="B4" s="7" t="s">
        <v>19</v>
      </c>
      <c r="C4" s="6" t="s">
        <v>20</v>
      </c>
    </row>
    <row r="5" customFormat="false" ht="30" hidden="false" customHeight="true" outlineLevel="0" collapsed="false">
      <c r="A5" s="6" t="s">
        <v>21</v>
      </c>
      <c r="B5" s="7" t="n">
        <v>1.45</v>
      </c>
      <c r="C5" s="6" t="s">
        <v>22</v>
      </c>
    </row>
    <row r="6" customFormat="false" ht="30" hidden="false" customHeight="true" outlineLevel="0" collapsed="false">
      <c r="A6" s="6" t="s">
        <v>23</v>
      </c>
      <c r="B6" s="7" t="n">
        <v>1.3</v>
      </c>
      <c r="C6" s="6" t="s">
        <v>24</v>
      </c>
    </row>
  </sheetData>
  <mergeCells count="1">
    <mergeCell ref="A1:C1"/>
  </mergeCells>
  <dataValidations count="1">
    <dataValidation allowBlank="false" errorStyle="stop" operator="between" showDropDown="false" showErrorMessage="false" showInputMessage="false" sqref="B4" type="list">
      <formula1>"Block (15cm),Brick (23cm)"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4" min="3" style="1" width="16"/>
    <col collapsed="false" customWidth="true" hidden="false" outlineLevel="0" max="5" min="5" style="1" width="14"/>
    <col collapsed="false" customWidth="true" hidden="false" outlineLevel="0" max="6" min="6" style="1" width="16"/>
    <col collapsed="false" customWidth="true" hidden="false" outlineLevel="0" max="7" min="7" style="1" width="12"/>
    <col collapsed="false" customWidth="true" hidden="false" outlineLevel="0" max="8" min="8" style="1" width="55"/>
  </cols>
  <sheetData>
    <row r="1" customFormat="false" ht="26.25" hidden="false" customHeight="true" outlineLevel="0" collapsed="false">
      <c r="A1" s="5" t="s">
        <v>25</v>
      </c>
      <c r="B1" s="5" t="s">
        <v>26</v>
      </c>
      <c r="C1" s="5" t="s">
        <v>27</v>
      </c>
      <c r="D1" s="5" t="s">
        <v>28</v>
      </c>
      <c r="E1" s="5" t="s">
        <v>29</v>
      </c>
      <c r="F1" s="5" t="s">
        <v>30</v>
      </c>
      <c r="G1" s="5" t="s">
        <v>31</v>
      </c>
      <c r="H1" s="5" t="s">
        <v>32</v>
      </c>
    </row>
    <row r="2" customFormat="false" ht="15" hidden="false" customHeight="true" outlineLevel="0" collapsed="false">
      <c r="A2" s="10" t="s">
        <v>33</v>
      </c>
      <c r="B2" s="10"/>
      <c r="C2" s="10"/>
      <c r="D2" s="10"/>
      <c r="E2" s="10"/>
      <c r="F2" s="10"/>
      <c r="G2" s="10"/>
      <c r="H2" s="10"/>
    </row>
    <row r="3" customFormat="false" ht="15" hidden="false" customHeight="true" outlineLevel="0" collapsed="false">
      <c r="A3" s="9" t="s">
        <v>34</v>
      </c>
      <c r="B3" s="9" t="s">
        <v>35</v>
      </c>
      <c r="C3" s="11" t="n">
        <v>0.31</v>
      </c>
      <c r="D3" s="11" t="n">
        <v>0.31</v>
      </c>
      <c r="E3" s="9" t="s">
        <v>36</v>
      </c>
      <c r="F3" s="9" t="s">
        <v>37</v>
      </c>
      <c r="G3" s="9" t="s">
        <v>38</v>
      </c>
      <c r="H3" s="8" t="s">
        <v>39</v>
      </c>
    </row>
    <row r="4" customFormat="false" ht="15" hidden="false" customHeight="true" outlineLevel="0" collapsed="false">
      <c r="A4" s="9" t="s">
        <v>40</v>
      </c>
      <c r="B4" s="9" t="s">
        <v>35</v>
      </c>
      <c r="C4" s="11" t="n">
        <v>0.06</v>
      </c>
      <c r="D4" s="11" t="n">
        <v>0.06</v>
      </c>
      <c r="E4" s="9" t="s">
        <v>36</v>
      </c>
      <c r="F4" s="9" t="s">
        <v>41</v>
      </c>
      <c r="G4" s="9" t="s">
        <v>42</v>
      </c>
      <c r="H4" s="8" t="s">
        <v>43</v>
      </c>
    </row>
    <row r="5" customFormat="false" ht="15" hidden="false" customHeight="true" outlineLevel="0" collapsed="false">
      <c r="A5" s="9" t="s">
        <v>44</v>
      </c>
      <c r="B5" s="9" t="s">
        <v>35</v>
      </c>
      <c r="C5" s="11" t="n">
        <v>0.23</v>
      </c>
      <c r="D5" s="11" t="n">
        <v>0.23</v>
      </c>
      <c r="E5" s="9" t="s">
        <v>36</v>
      </c>
      <c r="F5" s="9" t="s">
        <v>41</v>
      </c>
      <c r="G5" s="9" t="s">
        <v>45</v>
      </c>
      <c r="H5" s="8" t="s">
        <v>43</v>
      </c>
    </row>
    <row r="6" customFormat="false" ht="15" hidden="false" customHeight="true" outlineLevel="0" collapsed="false">
      <c r="A6" s="10" t="s">
        <v>46</v>
      </c>
      <c r="B6" s="10"/>
      <c r="C6" s="10"/>
      <c r="D6" s="10"/>
      <c r="E6" s="10"/>
      <c r="F6" s="10"/>
      <c r="G6" s="10"/>
      <c r="H6" s="10"/>
    </row>
    <row r="7" customFormat="false" ht="15" hidden="false" customHeight="true" outlineLevel="0" collapsed="false">
      <c r="A7" s="9" t="s">
        <v>47</v>
      </c>
      <c r="B7" s="9" t="s">
        <v>48</v>
      </c>
      <c r="C7" s="11" t="n">
        <v>0.046</v>
      </c>
      <c r="D7" s="11" t="n">
        <v>0.046</v>
      </c>
      <c r="E7" s="9" t="s">
        <v>36</v>
      </c>
      <c r="F7" s="9" t="s">
        <v>37</v>
      </c>
      <c r="G7" s="9" t="s">
        <v>49</v>
      </c>
      <c r="H7" s="8" t="s">
        <v>39</v>
      </c>
    </row>
    <row r="8" customFormat="false" ht="15" hidden="false" customHeight="true" outlineLevel="0" collapsed="false">
      <c r="A8" s="9" t="s">
        <v>50</v>
      </c>
      <c r="B8" s="9" t="s">
        <v>48</v>
      </c>
      <c r="C8" s="11" t="n">
        <v>0.29</v>
      </c>
      <c r="D8" s="11" t="n">
        <v>0.29</v>
      </c>
      <c r="E8" s="9" t="s">
        <v>36</v>
      </c>
      <c r="F8" s="9" t="s">
        <v>37</v>
      </c>
      <c r="G8" s="9" t="s">
        <v>51</v>
      </c>
      <c r="H8" s="8" t="s">
        <v>39</v>
      </c>
    </row>
    <row r="9" customFormat="false" ht="15" hidden="false" customHeight="true" outlineLevel="0" collapsed="false">
      <c r="A9" s="9" t="s">
        <v>52</v>
      </c>
      <c r="B9" s="9" t="s">
        <v>48</v>
      </c>
      <c r="C9" s="11" t="n">
        <v>6.4</v>
      </c>
      <c r="D9" s="11" t="n">
        <v>6.4</v>
      </c>
      <c r="E9" s="9" t="s">
        <v>53</v>
      </c>
      <c r="F9" s="9" t="s">
        <v>41</v>
      </c>
      <c r="G9" s="9" t="s">
        <v>54</v>
      </c>
      <c r="H9" s="8" t="s">
        <v>55</v>
      </c>
    </row>
    <row r="10" customFormat="false" ht="15" hidden="false" customHeight="true" outlineLevel="0" collapsed="false">
      <c r="A10" s="9" t="s">
        <v>56</v>
      </c>
      <c r="B10" s="9" t="s">
        <v>48</v>
      </c>
      <c r="C10" s="11" t="n">
        <v>0.27</v>
      </c>
      <c r="D10" s="11" t="n">
        <v>0.27</v>
      </c>
      <c r="E10" s="9" t="s">
        <v>36</v>
      </c>
      <c r="F10" s="9" t="s">
        <v>41</v>
      </c>
      <c r="G10" s="9" t="s">
        <v>57</v>
      </c>
      <c r="H10" s="8" t="s">
        <v>58</v>
      </c>
    </row>
    <row r="11" customFormat="false" ht="23.25" hidden="false" customHeight="true" outlineLevel="0" collapsed="false">
      <c r="A11" s="9" t="s">
        <v>59</v>
      </c>
      <c r="B11" s="9" t="s">
        <v>48</v>
      </c>
      <c r="C11" s="11" t="n">
        <v>0.21</v>
      </c>
      <c r="D11" s="11" t="n">
        <v>0.22</v>
      </c>
      <c r="E11" s="9" t="s">
        <v>36</v>
      </c>
      <c r="F11" s="9" t="s">
        <v>60</v>
      </c>
      <c r="G11" s="9" t="s">
        <v>61</v>
      </c>
      <c r="H11" s="8" t="s">
        <v>62</v>
      </c>
    </row>
    <row r="12" customFormat="false" ht="15" hidden="false" customHeight="true" outlineLevel="0" collapsed="false">
      <c r="A12" s="10" t="s">
        <v>63</v>
      </c>
      <c r="B12" s="10"/>
      <c r="C12" s="10"/>
      <c r="D12" s="10"/>
      <c r="E12" s="10"/>
      <c r="F12" s="10"/>
      <c r="G12" s="10"/>
      <c r="H12" s="10"/>
    </row>
    <row r="13" customFormat="false" ht="15" hidden="false" customHeight="true" outlineLevel="0" collapsed="false">
      <c r="A13" s="9" t="s">
        <v>64</v>
      </c>
      <c r="B13" s="9" t="s">
        <v>65</v>
      </c>
      <c r="C13" s="11" t="n">
        <v>0.43</v>
      </c>
      <c r="D13" s="11" t="n">
        <v>0.86</v>
      </c>
      <c r="E13" s="9" t="s">
        <v>66</v>
      </c>
      <c r="F13" s="9" t="s">
        <v>60</v>
      </c>
      <c r="G13" s="9" t="s">
        <v>67</v>
      </c>
      <c r="H13" s="8" t="s">
        <v>68</v>
      </c>
    </row>
    <row r="14" customFormat="false" ht="15" hidden="false" customHeight="true" outlineLevel="0" collapsed="false">
      <c r="A14" s="9" t="s">
        <v>69</v>
      </c>
      <c r="B14" s="9" t="s">
        <v>65</v>
      </c>
      <c r="C14" s="11" t="n">
        <v>1.18</v>
      </c>
      <c r="D14" s="11" t="n">
        <v>1.61</v>
      </c>
      <c r="E14" s="9" t="s">
        <v>66</v>
      </c>
      <c r="F14" s="9" t="s">
        <v>60</v>
      </c>
      <c r="G14" s="9" t="s">
        <v>70</v>
      </c>
      <c r="H14" s="8" t="s">
        <v>68</v>
      </c>
    </row>
    <row r="15" customFormat="false" ht="15" hidden="false" customHeight="true" outlineLevel="0" collapsed="false">
      <c r="A15" s="9" t="s">
        <v>71</v>
      </c>
      <c r="B15" s="9" t="s">
        <v>65</v>
      </c>
      <c r="C15" s="11" t="n">
        <v>0.32</v>
      </c>
      <c r="D15" s="11" t="n">
        <v>0.33</v>
      </c>
      <c r="E15" s="9" t="s">
        <v>66</v>
      </c>
      <c r="F15" s="9" t="s">
        <v>60</v>
      </c>
      <c r="G15" s="9" t="s">
        <v>72</v>
      </c>
      <c r="H15" s="8" t="s">
        <v>68</v>
      </c>
    </row>
    <row r="16" customFormat="false" ht="15" hidden="false" customHeight="true" outlineLevel="0" collapsed="false">
      <c r="A16" s="10" t="s">
        <v>73</v>
      </c>
      <c r="B16" s="10"/>
      <c r="C16" s="10"/>
      <c r="D16" s="10"/>
      <c r="E16" s="10"/>
      <c r="F16" s="10"/>
      <c r="G16" s="10"/>
      <c r="H16" s="10"/>
    </row>
    <row r="17" customFormat="false" ht="15" hidden="false" customHeight="true" outlineLevel="0" collapsed="false">
      <c r="A17" s="9" t="s">
        <v>74</v>
      </c>
      <c r="B17" s="9" t="s">
        <v>75</v>
      </c>
      <c r="C17" s="11" t="n">
        <v>0.72</v>
      </c>
      <c r="D17" s="11" t="n">
        <v>0.91</v>
      </c>
      <c r="E17" s="9" t="s">
        <v>36</v>
      </c>
      <c r="F17" s="9" t="s">
        <v>60</v>
      </c>
      <c r="G17" s="9" t="s">
        <v>76</v>
      </c>
      <c r="H17" s="8" t="s">
        <v>77</v>
      </c>
    </row>
    <row r="18" customFormat="false" ht="15" hidden="false" customHeight="true" outlineLevel="0" collapsed="false">
      <c r="A18" s="10" t="s">
        <v>78</v>
      </c>
      <c r="B18" s="10"/>
      <c r="C18" s="10"/>
      <c r="D18" s="10"/>
      <c r="E18" s="10"/>
      <c r="F18" s="10"/>
      <c r="G18" s="10"/>
      <c r="H18" s="10"/>
    </row>
    <row r="19" customFormat="false" ht="15" hidden="false" customHeight="true" outlineLevel="0" collapsed="false">
      <c r="A19" s="9" t="s">
        <v>79</v>
      </c>
      <c r="B19" s="9" t="s">
        <v>80</v>
      </c>
      <c r="C19" s="11" t="n">
        <v>43</v>
      </c>
      <c r="D19" s="11" t="n">
        <v>43</v>
      </c>
      <c r="E19" s="9" t="s">
        <v>81</v>
      </c>
      <c r="F19" s="9" t="s">
        <v>41</v>
      </c>
      <c r="G19" s="9" t="s">
        <v>82</v>
      </c>
      <c r="H19" s="8" t="s">
        <v>83</v>
      </c>
    </row>
    <row r="20" customFormat="false" ht="15" hidden="false" customHeight="true" outlineLevel="0" collapsed="false">
      <c r="A20" s="9" t="s">
        <v>84</v>
      </c>
      <c r="B20" s="9" t="s">
        <v>80</v>
      </c>
      <c r="C20" s="11" t="n">
        <v>27.5</v>
      </c>
      <c r="D20" s="11" t="n">
        <v>0</v>
      </c>
      <c r="E20" s="9" t="s">
        <v>81</v>
      </c>
      <c r="F20" s="9" t="s">
        <v>41</v>
      </c>
      <c r="G20" s="9" t="s">
        <v>85</v>
      </c>
      <c r="H20" s="8" t="s">
        <v>86</v>
      </c>
    </row>
    <row r="21" customFormat="false" ht="15" hidden="false" customHeight="true" outlineLevel="0" collapsed="false">
      <c r="A21" s="9" t="s">
        <v>87</v>
      </c>
      <c r="B21" s="9" t="s">
        <v>80</v>
      </c>
      <c r="C21" s="11" t="n">
        <v>0</v>
      </c>
      <c r="D21" s="11" t="n">
        <v>129</v>
      </c>
      <c r="E21" s="9" t="s">
        <v>81</v>
      </c>
      <c r="F21" s="9" t="s">
        <v>88</v>
      </c>
      <c r="G21" s="9" t="s">
        <v>89</v>
      </c>
      <c r="H21" s="8" t="s">
        <v>90</v>
      </c>
    </row>
    <row r="22" customFormat="false" ht="15" hidden="false" customHeight="true" outlineLevel="0" collapsed="false">
      <c r="A22" s="10" t="s">
        <v>91</v>
      </c>
      <c r="B22" s="10"/>
      <c r="C22" s="10"/>
      <c r="D22" s="10"/>
      <c r="E22" s="10"/>
      <c r="F22" s="10"/>
      <c r="G22" s="10"/>
      <c r="H22" s="10"/>
    </row>
    <row r="23" customFormat="false" ht="15" hidden="false" customHeight="true" outlineLevel="0" collapsed="false">
      <c r="A23" s="9" t="s">
        <v>92</v>
      </c>
      <c r="B23" s="9" t="s">
        <v>93</v>
      </c>
      <c r="C23" s="11" t="n">
        <v>0.55</v>
      </c>
      <c r="D23" s="11" t="n">
        <v>0.55</v>
      </c>
      <c r="E23" s="9" t="s">
        <v>94</v>
      </c>
      <c r="F23" s="9" t="s">
        <v>37</v>
      </c>
      <c r="G23" s="9" t="s">
        <v>95</v>
      </c>
      <c r="H23" s="8" t="s">
        <v>96</v>
      </c>
    </row>
    <row r="24" customFormat="false" ht="15" hidden="false" customHeight="true" outlineLevel="0" collapsed="false">
      <c r="A24" s="9" t="s">
        <v>97</v>
      </c>
      <c r="B24" s="9" t="s">
        <v>93</v>
      </c>
      <c r="C24" s="11" t="n">
        <v>2.15</v>
      </c>
      <c r="D24" s="11" t="n">
        <v>2.15</v>
      </c>
      <c r="E24" s="9" t="s">
        <v>94</v>
      </c>
      <c r="F24" s="9" t="s">
        <v>37</v>
      </c>
      <c r="G24" s="9" t="s">
        <v>98</v>
      </c>
      <c r="H24" s="8" t="s">
        <v>96</v>
      </c>
    </row>
    <row r="25" customFormat="false" ht="15" hidden="false" customHeight="true" outlineLevel="0" collapsed="false">
      <c r="A25" s="9" t="s">
        <v>99</v>
      </c>
      <c r="B25" s="9" t="s">
        <v>93</v>
      </c>
      <c r="C25" s="11" t="n">
        <v>1.15</v>
      </c>
      <c r="D25" s="11" t="n">
        <v>1.15</v>
      </c>
      <c r="E25" s="9" t="s">
        <v>94</v>
      </c>
      <c r="F25" s="9" t="s">
        <v>37</v>
      </c>
      <c r="G25" s="9" t="s">
        <v>100</v>
      </c>
      <c r="H25" s="8" t="s">
        <v>96</v>
      </c>
    </row>
    <row r="26" customFormat="false" ht="15" hidden="false" customHeight="true" outlineLevel="0" collapsed="false">
      <c r="A26" s="9" t="s">
        <v>101</v>
      </c>
      <c r="B26" s="9" t="s">
        <v>93</v>
      </c>
      <c r="C26" s="11" t="n">
        <v>4.8</v>
      </c>
      <c r="D26" s="11" t="n">
        <v>4.8</v>
      </c>
      <c r="E26" s="9" t="s">
        <v>94</v>
      </c>
      <c r="F26" s="9" t="s">
        <v>37</v>
      </c>
      <c r="G26" s="9" t="s">
        <v>102</v>
      </c>
      <c r="H26" s="8" t="s">
        <v>96</v>
      </c>
    </row>
    <row r="27" customFormat="false" ht="15" hidden="false" customHeight="true" outlineLevel="0" collapsed="false">
      <c r="A27" s="9" t="s">
        <v>103</v>
      </c>
      <c r="B27" s="9" t="s">
        <v>93</v>
      </c>
      <c r="C27" s="11" t="n">
        <v>7</v>
      </c>
      <c r="D27" s="11" t="n">
        <v>7</v>
      </c>
      <c r="E27" s="9" t="s">
        <v>94</v>
      </c>
      <c r="F27" s="9" t="s">
        <v>37</v>
      </c>
      <c r="G27" s="9" t="s">
        <v>104</v>
      </c>
      <c r="H27" s="8" t="s">
        <v>96</v>
      </c>
    </row>
    <row r="28" customFormat="false" ht="15" hidden="false" customHeight="true" outlineLevel="0" collapsed="false">
      <c r="A28" s="9" t="s">
        <v>105</v>
      </c>
      <c r="B28" s="9" t="s">
        <v>93</v>
      </c>
      <c r="C28" s="11" t="n">
        <v>7.5</v>
      </c>
      <c r="D28" s="11" t="n">
        <v>7.5</v>
      </c>
      <c r="E28" s="9" t="s">
        <v>94</v>
      </c>
      <c r="F28" s="9" t="s">
        <v>37</v>
      </c>
      <c r="G28" s="9" t="s">
        <v>106</v>
      </c>
      <c r="H28" s="8" t="s">
        <v>96</v>
      </c>
    </row>
    <row r="29" customFormat="false" ht="15" hidden="false" customHeight="true" outlineLevel="0" collapsed="false">
      <c r="A29" s="9" t="s">
        <v>107</v>
      </c>
      <c r="B29" s="9" t="s">
        <v>93</v>
      </c>
      <c r="C29" s="11" t="n">
        <v>0.55</v>
      </c>
      <c r="D29" s="11" t="n">
        <v>0.55</v>
      </c>
      <c r="E29" s="9" t="s">
        <v>94</v>
      </c>
      <c r="F29" s="9" t="s">
        <v>37</v>
      </c>
      <c r="G29" s="9" t="s">
        <v>108</v>
      </c>
      <c r="H29" s="8" t="s">
        <v>96</v>
      </c>
    </row>
    <row r="30" customFormat="false" ht="15" hidden="false" customHeight="true" outlineLevel="0" collapsed="false">
      <c r="A30" s="9" t="s">
        <v>109</v>
      </c>
      <c r="B30" s="9" t="s">
        <v>93</v>
      </c>
      <c r="C30" s="11" t="n">
        <v>0.55</v>
      </c>
      <c r="D30" s="11" t="n">
        <v>0.55</v>
      </c>
      <c r="E30" s="9" t="s">
        <v>94</v>
      </c>
      <c r="F30" s="9" t="s">
        <v>37</v>
      </c>
      <c r="G30" s="9" t="s">
        <v>110</v>
      </c>
      <c r="H30" s="8" t="s">
        <v>96</v>
      </c>
    </row>
    <row r="31" customFormat="false" ht="15" hidden="false" customHeight="true" outlineLevel="0" collapsed="false">
      <c r="A31" s="10" t="s">
        <v>111</v>
      </c>
      <c r="B31" s="10"/>
      <c r="C31" s="10"/>
      <c r="D31" s="10"/>
      <c r="E31" s="10"/>
      <c r="F31" s="10"/>
      <c r="G31" s="10"/>
      <c r="H31" s="10"/>
    </row>
    <row r="32" customFormat="false" ht="15" hidden="false" customHeight="true" outlineLevel="0" collapsed="false">
      <c r="A32" s="9" t="s">
        <v>112</v>
      </c>
      <c r="B32" s="9" t="s">
        <v>113</v>
      </c>
      <c r="C32" s="11" t="n">
        <v>3.2</v>
      </c>
      <c r="D32" s="11" t="n">
        <v>3.2</v>
      </c>
      <c r="E32" s="9" t="s">
        <v>114</v>
      </c>
      <c r="F32" s="9" t="s">
        <v>37</v>
      </c>
      <c r="G32" s="9" t="s">
        <v>115</v>
      </c>
      <c r="H32" s="8" t="s">
        <v>39</v>
      </c>
    </row>
    <row r="33" customFormat="false" ht="15" hidden="false" customHeight="true" outlineLevel="0" collapsed="false">
      <c r="A33" s="9" t="s">
        <v>116</v>
      </c>
      <c r="B33" s="9" t="s">
        <v>113</v>
      </c>
      <c r="C33" s="11" t="n">
        <v>2.5</v>
      </c>
      <c r="D33" s="11" t="n">
        <v>2.5</v>
      </c>
      <c r="E33" s="9" t="s">
        <v>114</v>
      </c>
      <c r="F33" s="9" t="s">
        <v>37</v>
      </c>
      <c r="G33" s="9" t="s">
        <v>117</v>
      </c>
      <c r="H33" s="8" t="s">
        <v>39</v>
      </c>
    </row>
    <row r="34" customFormat="false" ht="15" hidden="false" customHeight="true" outlineLevel="0" collapsed="false">
      <c r="A34" s="9" t="s">
        <v>118</v>
      </c>
      <c r="B34" s="9" t="s">
        <v>113</v>
      </c>
      <c r="C34" s="11" t="n">
        <v>0.27</v>
      </c>
      <c r="D34" s="11" t="n">
        <v>0.27</v>
      </c>
      <c r="E34" s="9" t="s">
        <v>66</v>
      </c>
      <c r="F34" s="9" t="s">
        <v>41</v>
      </c>
      <c r="G34" s="9" t="s">
        <v>119</v>
      </c>
      <c r="H34" s="8" t="s">
        <v>120</v>
      </c>
    </row>
    <row r="35" customFormat="false" ht="15" hidden="false" customHeight="true" outlineLevel="0" collapsed="false">
      <c r="A35" s="10" t="s">
        <v>121</v>
      </c>
      <c r="B35" s="10"/>
      <c r="C35" s="10"/>
      <c r="D35" s="10"/>
      <c r="E35" s="10"/>
      <c r="F35" s="10"/>
      <c r="G35" s="10"/>
      <c r="H35" s="10"/>
    </row>
    <row r="36" customFormat="false" ht="15" hidden="false" customHeight="true" outlineLevel="0" collapsed="false">
      <c r="A36" s="9" t="s">
        <v>122</v>
      </c>
      <c r="B36" s="9" t="s">
        <v>123</v>
      </c>
      <c r="C36" s="11" t="n">
        <v>0.16</v>
      </c>
      <c r="D36" s="11" t="n">
        <v>0.16</v>
      </c>
      <c r="E36" s="9" t="s">
        <v>66</v>
      </c>
      <c r="F36" s="9" t="s">
        <v>41</v>
      </c>
      <c r="G36" s="9" t="s">
        <v>124</v>
      </c>
      <c r="H36" s="8" t="s">
        <v>120</v>
      </c>
    </row>
    <row r="37" customFormat="false" ht="15" hidden="false" customHeight="true" outlineLevel="0" collapsed="false">
      <c r="A37" s="9" t="s">
        <v>125</v>
      </c>
      <c r="B37" s="9" t="s">
        <v>123</v>
      </c>
      <c r="C37" s="11" t="n">
        <v>0.75</v>
      </c>
      <c r="D37" s="11" t="n">
        <v>0.75</v>
      </c>
      <c r="E37" s="9" t="s">
        <v>114</v>
      </c>
      <c r="F37" s="9" t="s">
        <v>41</v>
      </c>
      <c r="G37" s="9" t="s">
        <v>126</v>
      </c>
      <c r="H37" s="8" t="s">
        <v>43</v>
      </c>
    </row>
    <row r="38" customFormat="false" ht="15" hidden="false" customHeight="true" outlineLevel="0" collapsed="false">
      <c r="A38" s="9" t="s">
        <v>127</v>
      </c>
      <c r="B38" s="9" t="s">
        <v>123</v>
      </c>
      <c r="C38" s="11" t="n">
        <v>0.05</v>
      </c>
      <c r="D38" s="11" t="n">
        <v>0.05</v>
      </c>
      <c r="E38" s="9" t="s">
        <v>114</v>
      </c>
      <c r="F38" s="9" t="s">
        <v>128</v>
      </c>
      <c r="G38" s="9" t="s">
        <v>129</v>
      </c>
      <c r="H38" s="8" t="s">
        <v>130</v>
      </c>
    </row>
    <row r="39" customFormat="false" ht="15" hidden="false" customHeight="true" outlineLevel="0" collapsed="false">
      <c r="A39" s="9" t="s">
        <v>131</v>
      </c>
      <c r="B39" s="9" t="s">
        <v>123</v>
      </c>
      <c r="C39" s="11" t="n">
        <v>0.2</v>
      </c>
      <c r="D39" s="11" t="n">
        <v>0.2</v>
      </c>
      <c r="E39" s="9" t="s">
        <v>114</v>
      </c>
      <c r="F39" s="9" t="s">
        <v>128</v>
      </c>
      <c r="G39" s="9" t="s">
        <v>132</v>
      </c>
      <c r="H39" s="8" t="s">
        <v>130</v>
      </c>
    </row>
    <row r="40" customFormat="false" ht="15" hidden="false" customHeight="true" outlineLevel="0" collapsed="false">
      <c r="A40" s="9" t="s">
        <v>133</v>
      </c>
      <c r="B40" s="9" t="s">
        <v>123</v>
      </c>
      <c r="C40" s="11" t="n">
        <v>0.15</v>
      </c>
      <c r="D40" s="11" t="n">
        <v>0.15</v>
      </c>
      <c r="E40" s="9" t="s">
        <v>114</v>
      </c>
      <c r="F40" s="9" t="s">
        <v>128</v>
      </c>
      <c r="G40" s="9" t="s">
        <v>134</v>
      </c>
      <c r="H40" s="8" t="s">
        <v>130</v>
      </c>
    </row>
    <row r="41" customFormat="false" ht="15" hidden="false" customHeight="true" outlineLevel="0" collapsed="false">
      <c r="A41" s="9" t="s">
        <v>135</v>
      </c>
      <c r="B41" s="9" t="s">
        <v>123</v>
      </c>
      <c r="C41" s="11" t="n">
        <v>0.064</v>
      </c>
      <c r="D41" s="11" t="n">
        <v>0.064</v>
      </c>
      <c r="E41" s="9" t="s">
        <v>114</v>
      </c>
      <c r="F41" s="9" t="s">
        <v>128</v>
      </c>
      <c r="G41" s="9" t="s">
        <v>136</v>
      </c>
      <c r="H41" s="8" t="s">
        <v>130</v>
      </c>
    </row>
    <row r="42" customFormat="false" ht="15" hidden="false" customHeight="true" outlineLevel="0" collapsed="false">
      <c r="A42" s="9" t="s">
        <v>137</v>
      </c>
      <c r="B42" s="9" t="s">
        <v>123</v>
      </c>
      <c r="C42" s="11" t="n">
        <v>0.82</v>
      </c>
      <c r="D42" s="11" t="n">
        <v>0.82</v>
      </c>
      <c r="E42" s="9" t="s">
        <v>138</v>
      </c>
      <c r="F42" s="9" t="s">
        <v>128</v>
      </c>
      <c r="G42" s="9" t="s">
        <v>139</v>
      </c>
      <c r="H42" s="8" t="s">
        <v>130</v>
      </c>
    </row>
    <row r="43" customFormat="false" ht="15" hidden="false" customHeight="true" outlineLevel="0" collapsed="false">
      <c r="A43" s="9" t="s">
        <v>140</v>
      </c>
      <c r="B43" s="9" t="s">
        <v>123</v>
      </c>
      <c r="C43" s="11" t="n">
        <v>0.04</v>
      </c>
      <c r="D43" s="11" t="n">
        <v>0.04</v>
      </c>
      <c r="E43" s="9" t="s">
        <v>138</v>
      </c>
      <c r="F43" s="9" t="s">
        <v>128</v>
      </c>
      <c r="G43" s="9" t="s">
        <v>141</v>
      </c>
      <c r="H43" s="8" t="s">
        <v>130</v>
      </c>
    </row>
    <row r="44" customFormat="false" ht="15" hidden="false" customHeight="true" outlineLevel="0" collapsed="false">
      <c r="A44" s="10" t="s">
        <v>142</v>
      </c>
      <c r="B44" s="10"/>
      <c r="C44" s="10"/>
      <c r="D44" s="10"/>
      <c r="E44" s="10"/>
      <c r="F44" s="10"/>
      <c r="G44" s="10"/>
      <c r="H44" s="10"/>
    </row>
    <row r="45" customFormat="false" ht="15" hidden="false" customHeight="true" outlineLevel="0" collapsed="false">
      <c r="A45" s="9" t="s">
        <v>143</v>
      </c>
      <c r="B45" s="9" t="s">
        <v>144</v>
      </c>
      <c r="C45" s="11" t="n">
        <v>0.09</v>
      </c>
      <c r="D45" s="11" t="n">
        <v>0.09</v>
      </c>
      <c r="E45" s="9" t="s">
        <v>81</v>
      </c>
      <c r="F45" s="9" t="s">
        <v>128</v>
      </c>
      <c r="G45" s="9" t="s">
        <v>145</v>
      </c>
      <c r="H45" s="8" t="s">
        <v>130</v>
      </c>
    </row>
    <row r="46" customFormat="false" ht="15" hidden="false" customHeight="true" outlineLevel="0" collapsed="false">
      <c r="A46" s="9" t="s">
        <v>146</v>
      </c>
      <c r="B46" s="9" t="s">
        <v>144</v>
      </c>
      <c r="C46" s="11" t="n">
        <v>0.14</v>
      </c>
      <c r="D46" s="11" t="n">
        <v>0.14</v>
      </c>
      <c r="E46" s="9" t="s">
        <v>114</v>
      </c>
      <c r="F46" s="9" t="s">
        <v>128</v>
      </c>
      <c r="G46" s="9" t="s">
        <v>57</v>
      </c>
      <c r="H46" s="8" t="s">
        <v>130</v>
      </c>
    </row>
    <row r="47" customFormat="false" ht="15" hidden="false" customHeight="true" outlineLevel="0" collapsed="false">
      <c r="A47" s="10" t="s">
        <v>147</v>
      </c>
      <c r="B47" s="10"/>
      <c r="C47" s="10"/>
      <c r="D47" s="10"/>
      <c r="E47" s="10"/>
      <c r="F47" s="10"/>
      <c r="G47" s="10"/>
      <c r="H47" s="10"/>
    </row>
    <row r="48" customFormat="false" ht="15" hidden="false" customHeight="true" outlineLevel="0" collapsed="false">
      <c r="A48" s="9" t="s">
        <v>148</v>
      </c>
      <c r="B48" s="9" t="s">
        <v>149</v>
      </c>
      <c r="C48" s="11" t="n">
        <v>0.14</v>
      </c>
      <c r="D48" s="11" t="n">
        <v>0.14</v>
      </c>
      <c r="E48" s="9" t="s">
        <v>114</v>
      </c>
      <c r="F48" s="9" t="s">
        <v>41</v>
      </c>
      <c r="G48" s="9" t="s">
        <v>150</v>
      </c>
      <c r="H48" s="8" t="s">
        <v>43</v>
      </c>
    </row>
    <row r="49" customFormat="false" ht="15" hidden="false" customHeight="true" outlineLevel="0" collapsed="false">
      <c r="A49" s="9" t="s">
        <v>151</v>
      </c>
      <c r="B49" s="9" t="s">
        <v>149</v>
      </c>
      <c r="C49" s="11" t="n">
        <v>0.14</v>
      </c>
      <c r="D49" s="11" t="n">
        <v>0.14</v>
      </c>
      <c r="E49" s="9" t="s">
        <v>114</v>
      </c>
      <c r="F49" s="9" t="s">
        <v>41</v>
      </c>
      <c r="G49" s="9" t="s">
        <v>152</v>
      </c>
      <c r="H49" s="8" t="s">
        <v>43</v>
      </c>
    </row>
    <row r="50" customFormat="false" ht="15" hidden="false" customHeight="true" outlineLevel="0" collapsed="false">
      <c r="A50" s="10" t="s">
        <v>153</v>
      </c>
      <c r="B50" s="10"/>
      <c r="C50" s="10"/>
      <c r="D50" s="10"/>
      <c r="E50" s="10"/>
      <c r="F50" s="10"/>
      <c r="G50" s="10"/>
      <c r="H50" s="10"/>
    </row>
    <row r="51" customFormat="false" ht="23.25" hidden="false" customHeight="true" outlineLevel="0" collapsed="false">
      <c r="A51" s="9" t="s">
        <v>154</v>
      </c>
      <c r="B51" s="9" t="s">
        <v>155</v>
      </c>
      <c r="C51" s="11" t="n">
        <v>0.62</v>
      </c>
      <c r="D51" s="11" t="n">
        <v>0.62</v>
      </c>
      <c r="E51" s="9" t="s">
        <v>114</v>
      </c>
      <c r="F51" s="9" t="s">
        <v>37</v>
      </c>
      <c r="G51" s="9" t="s">
        <v>156</v>
      </c>
      <c r="H51" s="8" t="s">
        <v>39</v>
      </c>
    </row>
    <row r="52" customFormat="false" ht="15" hidden="false" customHeight="true" outlineLevel="0" collapsed="false">
      <c r="A52" s="9" t="s">
        <v>157</v>
      </c>
      <c r="B52" s="9" t="s">
        <v>155</v>
      </c>
      <c r="C52" s="11" t="n">
        <v>2.25</v>
      </c>
      <c r="D52" s="11" t="n">
        <v>2.25</v>
      </c>
      <c r="E52" s="9" t="s">
        <v>158</v>
      </c>
      <c r="F52" s="9" t="s">
        <v>159</v>
      </c>
      <c r="G52" s="9" t="s">
        <v>160</v>
      </c>
      <c r="H52" s="8" t="s">
        <v>161</v>
      </c>
    </row>
    <row r="53" customFormat="false" ht="15" hidden="false" customHeight="true" outlineLevel="0" collapsed="false">
      <c r="A53" s="9" t="s">
        <v>162</v>
      </c>
      <c r="B53" s="9" t="s">
        <v>155</v>
      </c>
      <c r="C53" s="11" t="n">
        <v>1.5</v>
      </c>
      <c r="D53" s="11" t="n">
        <v>1.5</v>
      </c>
      <c r="E53" s="9" t="s">
        <v>158</v>
      </c>
      <c r="F53" s="9" t="s">
        <v>159</v>
      </c>
      <c r="G53" s="9" t="s">
        <v>160</v>
      </c>
      <c r="H53" s="8" t="s">
        <v>161</v>
      </c>
    </row>
    <row r="54" customFormat="false" ht="15" hidden="false" customHeight="true" outlineLevel="0" collapsed="false">
      <c r="A54" s="10" t="s">
        <v>163</v>
      </c>
      <c r="B54" s="10"/>
      <c r="C54" s="10"/>
      <c r="D54" s="10"/>
      <c r="E54" s="10"/>
      <c r="F54" s="10"/>
      <c r="G54" s="10"/>
      <c r="H54" s="10"/>
    </row>
    <row r="55" customFormat="false" ht="15" hidden="false" customHeight="true" outlineLevel="0" collapsed="false">
      <c r="A55" s="9" t="s">
        <v>164</v>
      </c>
      <c r="B55" s="9" t="s">
        <v>165</v>
      </c>
      <c r="C55" s="11" t="n">
        <v>0.3</v>
      </c>
      <c r="D55" s="11" t="n">
        <v>0.3</v>
      </c>
      <c r="E55" s="9" t="s">
        <v>114</v>
      </c>
      <c r="F55" s="9" t="s">
        <v>37</v>
      </c>
      <c r="G55" s="9" t="s">
        <v>166</v>
      </c>
      <c r="H55" s="8" t="s">
        <v>39</v>
      </c>
    </row>
    <row r="56" customFormat="false" ht="15" hidden="false" customHeight="true" outlineLevel="0" collapsed="false">
      <c r="A56" s="9" t="s">
        <v>167</v>
      </c>
      <c r="B56" s="9" t="s">
        <v>165</v>
      </c>
      <c r="C56" s="11" t="n">
        <v>0.03</v>
      </c>
      <c r="D56" s="11" t="n">
        <v>0.03</v>
      </c>
      <c r="E56" s="9" t="s">
        <v>36</v>
      </c>
      <c r="F56" s="9" t="s">
        <v>128</v>
      </c>
      <c r="G56" s="9" t="s">
        <v>168</v>
      </c>
      <c r="H56" s="8" t="s">
        <v>130</v>
      </c>
    </row>
    <row r="57" customFormat="false" ht="15" hidden="false" customHeight="true" outlineLevel="0" collapsed="false">
      <c r="A57" s="10" t="s">
        <v>169</v>
      </c>
      <c r="B57" s="10"/>
      <c r="C57" s="10"/>
      <c r="D57" s="10"/>
      <c r="E57" s="10"/>
      <c r="F57" s="10"/>
      <c r="G57" s="10"/>
      <c r="H57" s="10"/>
    </row>
    <row r="58" customFormat="false" ht="15" hidden="false" customHeight="true" outlineLevel="0" collapsed="false">
      <c r="A58" s="9" t="s">
        <v>170</v>
      </c>
      <c r="B58" s="9" t="s">
        <v>171</v>
      </c>
      <c r="C58" s="11" t="n">
        <v>0.03</v>
      </c>
      <c r="D58" s="11" t="n">
        <v>0.03</v>
      </c>
      <c r="E58" s="9" t="s">
        <v>114</v>
      </c>
      <c r="F58" s="9" t="s">
        <v>128</v>
      </c>
      <c r="G58" s="9" t="s">
        <v>172</v>
      </c>
      <c r="H58" s="8" t="s">
        <v>173</v>
      </c>
    </row>
    <row r="59" customFormat="false" ht="15" hidden="false" customHeight="true" outlineLevel="0" collapsed="false">
      <c r="A59" s="10" t="s">
        <v>174</v>
      </c>
      <c r="B59" s="10"/>
      <c r="C59" s="10"/>
      <c r="D59" s="10"/>
      <c r="E59" s="10"/>
      <c r="F59" s="10"/>
      <c r="G59" s="10"/>
      <c r="H59" s="10"/>
    </row>
    <row r="60" customFormat="false" ht="15" hidden="false" customHeight="true" outlineLevel="0" collapsed="false">
      <c r="A60" s="9" t="s">
        <v>175</v>
      </c>
      <c r="B60" s="9" t="s">
        <v>176</v>
      </c>
      <c r="C60" s="11" t="n">
        <v>0.02</v>
      </c>
      <c r="D60" s="11" t="n">
        <v>0.02</v>
      </c>
      <c r="E60" s="9" t="s">
        <v>177</v>
      </c>
      <c r="F60" s="9" t="s">
        <v>37</v>
      </c>
      <c r="G60" s="9" t="s">
        <v>178</v>
      </c>
      <c r="H60" s="8" t="s">
        <v>179</v>
      </c>
    </row>
    <row r="61" customFormat="false" ht="15" hidden="false" customHeight="true" outlineLevel="0" collapsed="false">
      <c r="A61" s="9" t="s">
        <v>180</v>
      </c>
      <c r="B61" s="9" t="s">
        <v>176</v>
      </c>
      <c r="C61" s="11" t="n">
        <v>65</v>
      </c>
      <c r="D61" s="11" t="n">
        <v>65</v>
      </c>
      <c r="E61" s="9" t="s">
        <v>181</v>
      </c>
      <c r="F61" s="9" t="s">
        <v>37</v>
      </c>
      <c r="G61" s="9" t="s">
        <v>182</v>
      </c>
      <c r="H61" s="8" t="s">
        <v>183</v>
      </c>
    </row>
    <row r="62" customFormat="false" ht="15" hidden="false" customHeight="true" outlineLevel="0" collapsed="false">
      <c r="A62" s="9" t="s">
        <v>184</v>
      </c>
      <c r="B62" s="9" t="s">
        <v>176</v>
      </c>
      <c r="C62" s="11" t="n">
        <v>0.24</v>
      </c>
      <c r="D62" s="11" t="n">
        <v>0.24</v>
      </c>
      <c r="E62" s="9" t="s">
        <v>185</v>
      </c>
      <c r="F62" s="9" t="s">
        <v>37</v>
      </c>
      <c r="G62" s="9" t="s">
        <v>132</v>
      </c>
      <c r="H62" s="8" t="s">
        <v>179</v>
      </c>
    </row>
    <row r="63" customFormat="false" ht="15" hidden="false" customHeight="true" outlineLevel="0" collapsed="false">
      <c r="A63" s="9" t="s">
        <v>186</v>
      </c>
      <c r="B63" s="9" t="s">
        <v>176</v>
      </c>
      <c r="C63" s="11" t="n">
        <v>0.5</v>
      </c>
      <c r="D63" s="11" t="n">
        <v>0.5</v>
      </c>
      <c r="E63" s="9" t="s">
        <v>187</v>
      </c>
      <c r="F63" s="9" t="s">
        <v>37</v>
      </c>
      <c r="G63" s="9" t="s">
        <v>188</v>
      </c>
      <c r="H63" s="8" t="s">
        <v>183</v>
      </c>
    </row>
    <row r="64" customFormat="false" ht="15" hidden="false" customHeight="true" outlineLevel="0" collapsed="false">
      <c r="A64" s="9" t="s">
        <v>189</v>
      </c>
      <c r="B64" s="9" t="s">
        <v>176</v>
      </c>
      <c r="C64" s="11" t="n">
        <v>0.16</v>
      </c>
      <c r="D64" s="11" t="n">
        <v>0.16</v>
      </c>
      <c r="E64" s="9" t="s">
        <v>177</v>
      </c>
      <c r="F64" s="9" t="s">
        <v>37</v>
      </c>
      <c r="G64" s="9" t="s">
        <v>141</v>
      </c>
      <c r="H64" s="8" t="s">
        <v>179</v>
      </c>
    </row>
    <row r="65" customFormat="false" ht="15" hidden="false" customHeight="true" outlineLevel="0" collapsed="false">
      <c r="A65" s="9" t="s">
        <v>190</v>
      </c>
      <c r="B65" s="9" t="s">
        <v>176</v>
      </c>
      <c r="C65" s="11" t="n">
        <v>0.4</v>
      </c>
      <c r="D65" s="11" t="n">
        <v>0.4</v>
      </c>
      <c r="E65" s="9" t="s">
        <v>185</v>
      </c>
      <c r="F65" s="9" t="s">
        <v>37</v>
      </c>
      <c r="G65" s="9" t="s">
        <v>134</v>
      </c>
      <c r="H65" s="8" t="s">
        <v>179</v>
      </c>
    </row>
    <row r="66" customFormat="false" ht="15" hidden="false" customHeight="true" outlineLevel="0" collapsed="false">
      <c r="A66" s="9" t="s">
        <v>191</v>
      </c>
      <c r="B66" s="9" t="s">
        <v>176</v>
      </c>
      <c r="C66" s="11" t="n">
        <v>0.16</v>
      </c>
      <c r="D66" s="11" t="n">
        <v>0.16</v>
      </c>
      <c r="E66" s="9" t="s">
        <v>177</v>
      </c>
      <c r="F66" s="9" t="s">
        <v>37</v>
      </c>
      <c r="G66" s="9" t="s">
        <v>192</v>
      </c>
      <c r="H66" s="8" t="s">
        <v>179</v>
      </c>
    </row>
    <row r="67" customFormat="false" ht="15" hidden="false" customHeight="true" outlineLevel="0" collapsed="false">
      <c r="A67" s="9" t="s">
        <v>193</v>
      </c>
      <c r="B67" s="9" t="s">
        <v>176</v>
      </c>
      <c r="C67" s="11" t="n">
        <v>0.02</v>
      </c>
      <c r="D67" s="11" t="n">
        <v>0.02</v>
      </c>
      <c r="E67" s="9" t="s">
        <v>194</v>
      </c>
      <c r="F67" s="9" t="s">
        <v>37</v>
      </c>
      <c r="G67" s="9" t="s">
        <v>195</v>
      </c>
      <c r="H67" s="8" t="s">
        <v>179</v>
      </c>
    </row>
    <row r="68" customFormat="false" ht="15" hidden="false" customHeight="true" outlineLevel="0" collapsed="false">
      <c r="A68" s="9" t="s">
        <v>196</v>
      </c>
      <c r="B68" s="9" t="s">
        <v>176</v>
      </c>
      <c r="C68" s="11" t="n">
        <v>0.006</v>
      </c>
      <c r="D68" s="11" t="n">
        <v>0.006</v>
      </c>
      <c r="E68" s="9" t="s">
        <v>197</v>
      </c>
      <c r="F68" s="9" t="s">
        <v>37</v>
      </c>
      <c r="G68" s="9" t="s">
        <v>198</v>
      </c>
      <c r="H68" s="8" t="s">
        <v>179</v>
      </c>
    </row>
    <row r="69" customFormat="false" ht="15" hidden="false" customHeight="true" outlineLevel="0" collapsed="false">
      <c r="A69" s="9" t="s">
        <v>199</v>
      </c>
      <c r="B69" s="9" t="s">
        <v>176</v>
      </c>
      <c r="C69" s="11" t="n">
        <v>0.08</v>
      </c>
      <c r="D69" s="11" t="n">
        <v>0.08</v>
      </c>
      <c r="E69" s="9" t="s">
        <v>177</v>
      </c>
      <c r="F69" s="9" t="s">
        <v>37</v>
      </c>
      <c r="G69" s="9" t="s">
        <v>200</v>
      </c>
      <c r="H69" s="8" t="s">
        <v>179</v>
      </c>
    </row>
  </sheetData>
  <mergeCells count="14">
    <mergeCell ref="A2:H2"/>
    <mergeCell ref="A6:H6"/>
    <mergeCell ref="A12:H12"/>
    <mergeCell ref="A16:H16"/>
    <mergeCell ref="A18:H18"/>
    <mergeCell ref="A22:H22"/>
    <mergeCell ref="A31:H31"/>
    <mergeCell ref="A35:H35"/>
    <mergeCell ref="A44:H44"/>
    <mergeCell ref="A47:H47"/>
    <mergeCell ref="A50:H50"/>
    <mergeCell ref="A54:H54"/>
    <mergeCell ref="A57:H57"/>
    <mergeCell ref="A59:H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12"/>
    <col collapsed="false" customWidth="true" hidden="false" outlineLevel="0" max="4" min="4" style="1" width="46"/>
  </cols>
  <sheetData>
    <row r="1" customFormat="false" ht="15" hidden="false" customHeight="true" outlineLevel="0" collapsed="false">
      <c r="A1" s="12" t="s">
        <v>201</v>
      </c>
      <c r="B1" s="12"/>
      <c r="C1" s="12"/>
      <c r="D1" s="12"/>
    </row>
    <row r="2" customFormat="false" ht="15" hidden="false" customHeight="true" outlineLevel="0" collapsed="false">
      <c r="A2" s="5" t="s">
        <v>25</v>
      </c>
      <c r="B2" s="5" t="s">
        <v>202</v>
      </c>
      <c r="C2" s="5" t="s">
        <v>29</v>
      </c>
      <c r="D2" s="5" t="s">
        <v>203</v>
      </c>
    </row>
    <row r="3" customFormat="false" ht="15" hidden="false" customHeight="true" outlineLevel="0" collapsed="false">
      <c r="A3" s="10" t="s">
        <v>33</v>
      </c>
      <c r="B3" s="10"/>
      <c r="C3" s="10"/>
      <c r="D3" s="10"/>
    </row>
    <row r="4" customFormat="false" ht="15" hidden="false" customHeight="true" outlineLevel="0" collapsed="false">
      <c r="A4" s="9" t="s">
        <v>204</v>
      </c>
      <c r="B4" s="13" t="n">
        <f aca="false">Inputs!$B$3*Sourced_Constants!$C$3</f>
        <v>28.7999702709984</v>
      </c>
      <c r="C4" s="9" t="s">
        <v>205</v>
      </c>
      <c r="D4" s="8" t="s">
        <v>206</v>
      </c>
    </row>
    <row r="5" customFormat="false" ht="21.75" hidden="false" customHeight="true" outlineLevel="0" collapsed="false">
      <c r="A5" s="9" t="s">
        <v>207</v>
      </c>
      <c r="B5" s="13" t="n">
        <f aca="false">B4*Inputs!$B$5</f>
        <v>41.7599568929477</v>
      </c>
      <c r="C5" s="9" t="s">
        <v>205</v>
      </c>
      <c r="D5" s="8" t="s">
        <v>208</v>
      </c>
    </row>
    <row r="6" customFormat="false" ht="15" hidden="false" customHeight="true" outlineLevel="0" collapsed="false">
      <c r="A6" s="9" t="s">
        <v>40</v>
      </c>
      <c r="B6" s="13" t="n">
        <f aca="false">Inputs!$B$3*Sourced_Constants!$C$4</f>
        <v>5.57418779438679</v>
      </c>
      <c r="C6" s="9" t="s">
        <v>205</v>
      </c>
      <c r="D6" s="8" t="s">
        <v>209</v>
      </c>
    </row>
    <row r="7" customFormat="false" ht="15" hidden="false" customHeight="true" outlineLevel="0" collapsed="false">
      <c r="A7" s="9" t="s">
        <v>210</v>
      </c>
      <c r="B7" s="13" t="n">
        <f aca="false">Inputs!$B$3*Sourced_Constants!$C$5</f>
        <v>21.3677198784827</v>
      </c>
      <c r="C7" s="9" t="s">
        <v>205</v>
      </c>
      <c r="D7" s="8" t="s">
        <v>211</v>
      </c>
    </row>
    <row r="8" customFormat="false" ht="21.75" hidden="false" customHeight="true" outlineLevel="0" collapsed="false">
      <c r="A8" s="9" t="s">
        <v>212</v>
      </c>
      <c r="B8" s="13" t="n">
        <f aca="false">B7*Inputs!$B$6</f>
        <v>27.7780358420275</v>
      </c>
      <c r="C8" s="9" t="s">
        <v>205</v>
      </c>
      <c r="D8" s="8" t="s">
        <v>213</v>
      </c>
    </row>
    <row r="9" customFormat="false" ht="15" hidden="false" customHeight="true" outlineLevel="0" collapsed="false">
      <c r="A9" s="10" t="s">
        <v>46</v>
      </c>
      <c r="B9" s="10"/>
      <c r="C9" s="10"/>
      <c r="D9" s="10"/>
    </row>
    <row r="10" customFormat="false" ht="15" hidden="false" customHeight="true" outlineLevel="0" collapsed="false">
      <c r="A10" s="9" t="s">
        <v>214</v>
      </c>
      <c r="B10" s="13" t="n">
        <f aca="false">Inputs!$B$3*Sourced_Constants!$C$7</f>
        <v>4.27354397569654</v>
      </c>
      <c r="C10" s="9" t="s">
        <v>205</v>
      </c>
      <c r="D10" s="8" t="s">
        <v>215</v>
      </c>
    </row>
    <row r="11" customFormat="false" ht="15" hidden="false" customHeight="true" outlineLevel="0" collapsed="false">
      <c r="A11" s="9" t="s">
        <v>216</v>
      </c>
      <c r="B11" s="13" t="n">
        <f aca="false">Inputs!$B$3*Sourced_Constants!$C$8</f>
        <v>26.9419076728695</v>
      </c>
      <c r="C11" s="9" t="s">
        <v>205</v>
      </c>
      <c r="D11" s="8" t="s">
        <v>217</v>
      </c>
    </row>
    <row r="12" customFormat="false" ht="15" hidden="false" customHeight="true" outlineLevel="0" collapsed="false">
      <c r="A12" s="14" t="s">
        <v>218</v>
      </c>
      <c r="B12" s="15" t="n">
        <f aca="false">B10+B11</f>
        <v>31.215451648566</v>
      </c>
      <c r="C12" s="14" t="s">
        <v>205</v>
      </c>
      <c r="D12" s="16" t="s">
        <v>219</v>
      </c>
    </row>
    <row r="13" customFormat="false" ht="15" hidden="false" customHeight="true" outlineLevel="0" collapsed="false">
      <c r="A13" s="9" t="s">
        <v>220</v>
      </c>
      <c r="B13" s="13" t="n">
        <f aca="false">Inputs!$B$3*Sourced_Constants!$C$10</f>
        <v>25.0838450747406</v>
      </c>
      <c r="C13" s="9" t="s">
        <v>205</v>
      </c>
      <c r="D13" s="8" t="s">
        <v>221</v>
      </c>
    </row>
    <row r="14" customFormat="false" ht="15" hidden="false" customHeight="true" outlineLevel="0" collapsed="false">
      <c r="A14" s="10" t="s">
        <v>222</v>
      </c>
      <c r="B14" s="10"/>
      <c r="C14" s="10"/>
      <c r="D14" s="10"/>
    </row>
    <row r="15" customFormat="false" ht="21.75" hidden="false" customHeight="true" outlineLevel="0" collapsed="false">
      <c r="A15" s="9" t="s">
        <v>223</v>
      </c>
      <c r="B15" s="13" t="n">
        <f aca="false">(B10+B11)*Sourced_Constants!$C$9</f>
        <v>199.778890550823</v>
      </c>
      <c r="C15" s="9" t="s">
        <v>224</v>
      </c>
      <c r="D15" s="8" t="s">
        <v>225</v>
      </c>
    </row>
    <row r="16" customFormat="false" ht="21.75" hidden="false" customHeight="true" outlineLevel="0" collapsed="false">
      <c r="A16" s="9" t="s">
        <v>226</v>
      </c>
      <c r="B16" s="13" t="n">
        <f aca="false">Inputs!$B$3*IF(Inputs!$B$4="Block (15cm)",Sourced_Constants!$C$13,Sourced_Constants!$D$13)</f>
        <v>39.948345859772</v>
      </c>
      <c r="C16" s="9" t="s">
        <v>224</v>
      </c>
      <c r="D16" s="8" t="s">
        <v>227</v>
      </c>
    </row>
    <row r="17" customFormat="false" ht="21.75" hidden="false" customHeight="true" outlineLevel="0" collapsed="false">
      <c r="A17" s="9" t="s">
        <v>228</v>
      </c>
      <c r="B17" s="13" t="n">
        <f aca="false">Inputs!$B$3*IF(Inputs!$B$4="Block (15cm)",Sourced_Constants!$C$14,Sourced_Constants!$D$14)</f>
        <v>109.625693289607</v>
      </c>
      <c r="C17" s="9" t="s">
        <v>224</v>
      </c>
      <c r="D17" s="8" t="s">
        <v>229</v>
      </c>
    </row>
    <row r="18" customFormat="false" ht="21.75" hidden="false" customHeight="true" outlineLevel="0" collapsed="false">
      <c r="A18" s="9" t="s">
        <v>230</v>
      </c>
      <c r="B18" s="13" t="n">
        <f aca="false">Inputs!$B$3*IF(Inputs!$B$4="Block (15cm)",Sourced_Constants!$C$15,Sourced_Constants!$D$15)</f>
        <v>29.7290015700629</v>
      </c>
      <c r="C18" s="9" t="s">
        <v>224</v>
      </c>
      <c r="D18" s="8" t="s">
        <v>231</v>
      </c>
    </row>
    <row r="19" customFormat="false" ht="21.75" hidden="false" customHeight="true" outlineLevel="0" collapsed="false">
      <c r="A19" s="14" t="s">
        <v>232</v>
      </c>
      <c r="B19" s="15" t="n">
        <f aca="false">B15+B16+B17+B18</f>
        <v>379.081931270265</v>
      </c>
      <c r="C19" s="14" t="s">
        <v>224</v>
      </c>
      <c r="D19" s="16" t="s">
        <v>233</v>
      </c>
    </row>
    <row r="20" customFormat="false" ht="15" hidden="false" customHeight="true" outlineLevel="0" collapsed="false">
      <c r="A20" s="10" t="s">
        <v>73</v>
      </c>
      <c r="B20" s="10"/>
      <c r="C20" s="10"/>
      <c r="D20" s="10"/>
    </row>
    <row r="21" customFormat="false" ht="15" hidden="false" customHeight="true" outlineLevel="0" collapsed="false">
      <c r="A21" s="9" t="s">
        <v>234</v>
      </c>
      <c r="B21" s="13" t="n">
        <f aca="false">Inputs!$B$3*IF(Inputs!$B$4="Block (15cm)",Sourced_Constants!$C$17,Sourced_Constants!$D$17)</f>
        <v>66.8902535326415</v>
      </c>
      <c r="C21" s="9" t="s">
        <v>205</v>
      </c>
      <c r="D21" s="8" t="s">
        <v>235</v>
      </c>
    </row>
    <row r="22" customFormat="false" ht="15" hidden="false" customHeight="true" outlineLevel="0" collapsed="false">
      <c r="A22" s="10" t="s">
        <v>78</v>
      </c>
      <c r="B22" s="10"/>
      <c r="C22" s="10"/>
      <c r="D22" s="10"/>
    </row>
    <row r="23" customFormat="false" ht="15" hidden="false" customHeight="true" outlineLevel="0" collapsed="false">
      <c r="A23" s="9" t="s">
        <v>236</v>
      </c>
      <c r="B23" s="13" t="n">
        <f aca="false">Inputs!$B$3*Sourced_Constants!$C$19</f>
        <v>3994.8345859772</v>
      </c>
      <c r="C23" s="9" t="s">
        <v>237</v>
      </c>
      <c r="D23" s="8" t="s">
        <v>238</v>
      </c>
    </row>
    <row r="24" customFormat="false" ht="32.25" hidden="false" customHeight="true" outlineLevel="0" collapsed="false">
      <c r="A24" s="9" t="s">
        <v>239</v>
      </c>
      <c r="B24" s="13" t="n">
        <f aca="false">Inputs!$B$3*IF(Inputs!$B$4="Block (15cm)",Sourced_Constants!$C$20,Sourced_Constants!$D$20)</f>
        <v>2554.83607242728</v>
      </c>
      <c r="C24" s="9" t="s">
        <v>237</v>
      </c>
      <c r="D24" s="8" t="s">
        <v>240</v>
      </c>
    </row>
    <row r="25" customFormat="false" ht="21.75" hidden="false" customHeight="true" outlineLevel="0" collapsed="false">
      <c r="A25" s="9" t="s">
        <v>241</v>
      </c>
      <c r="B25" s="13" t="n">
        <f aca="false">Inputs!$B$3*IF(Inputs!$B$4="Block (15cm)",Sourced_Constants!$C$21,Sourced_Constants!$D$21)</f>
        <v>0</v>
      </c>
      <c r="C25" s="9" t="s">
        <v>237</v>
      </c>
      <c r="D25" s="8" t="s">
        <v>242</v>
      </c>
    </row>
    <row r="26" customFormat="false" ht="15" hidden="false" customHeight="true" outlineLevel="0" collapsed="false">
      <c r="A26" s="10" t="s">
        <v>91</v>
      </c>
      <c r="B26" s="10"/>
      <c r="C26" s="10"/>
      <c r="D26" s="10"/>
    </row>
    <row r="27" customFormat="false" ht="15" hidden="false" customHeight="true" outlineLevel="0" collapsed="false">
      <c r="A27" s="9" t="s">
        <v>92</v>
      </c>
      <c r="B27" s="13" t="n">
        <f aca="false">Inputs!$B$3*Sourced_Constants!$C$23</f>
        <v>51.0967214485456</v>
      </c>
      <c r="C27" s="9" t="s">
        <v>243</v>
      </c>
      <c r="D27" s="8" t="s">
        <v>244</v>
      </c>
    </row>
    <row r="28" customFormat="false" ht="15" hidden="false" customHeight="true" outlineLevel="0" collapsed="false">
      <c r="A28" s="9" t="s">
        <v>97</v>
      </c>
      <c r="B28" s="13" t="n">
        <f aca="false">Inputs!$B$3*Sourced_Constants!$C$24</f>
        <v>199.74172929886</v>
      </c>
      <c r="C28" s="9" t="s">
        <v>243</v>
      </c>
      <c r="D28" s="8" t="s">
        <v>245</v>
      </c>
    </row>
    <row r="29" customFormat="false" ht="15" hidden="false" customHeight="true" outlineLevel="0" collapsed="false">
      <c r="A29" s="9" t="s">
        <v>99</v>
      </c>
      <c r="B29" s="13" t="n">
        <f aca="false">Inputs!$B$3*Sourced_Constants!$C$25</f>
        <v>106.838599392414</v>
      </c>
      <c r="C29" s="9" t="s">
        <v>243</v>
      </c>
      <c r="D29" s="8" t="s">
        <v>246</v>
      </c>
    </row>
    <row r="30" customFormat="false" ht="15" hidden="false" customHeight="true" outlineLevel="0" collapsed="false">
      <c r="A30" s="9" t="s">
        <v>101</v>
      </c>
      <c r="B30" s="13" t="n">
        <f aca="false">Inputs!$B$3*Sourced_Constants!$C$26</f>
        <v>445.935023550943</v>
      </c>
      <c r="C30" s="9" t="s">
        <v>243</v>
      </c>
      <c r="D30" s="8" t="s">
        <v>247</v>
      </c>
    </row>
    <row r="31" customFormat="false" ht="15" hidden="false" customHeight="true" outlineLevel="0" collapsed="false">
      <c r="A31" s="9" t="s">
        <v>103</v>
      </c>
      <c r="B31" s="13" t="n">
        <f aca="false">Inputs!$B$3*Sourced_Constants!$C$27</f>
        <v>650.321909345126</v>
      </c>
      <c r="C31" s="9" t="s">
        <v>243</v>
      </c>
      <c r="D31" s="8" t="s">
        <v>248</v>
      </c>
    </row>
    <row r="32" customFormat="false" ht="15" hidden="false" customHeight="true" outlineLevel="0" collapsed="false">
      <c r="A32" s="9" t="s">
        <v>105</v>
      </c>
      <c r="B32" s="13" t="n">
        <f aca="false">Inputs!$B$3*Sourced_Constants!$C$28</f>
        <v>696.773474298349</v>
      </c>
      <c r="C32" s="9" t="s">
        <v>243</v>
      </c>
      <c r="D32" s="8" t="s">
        <v>249</v>
      </c>
    </row>
    <row r="33" customFormat="false" ht="15" hidden="false" customHeight="true" outlineLevel="0" collapsed="false">
      <c r="A33" s="9" t="s">
        <v>107</v>
      </c>
      <c r="B33" s="13" t="n">
        <f aca="false">Inputs!$B$3*Sourced_Constants!$C$29</f>
        <v>51.0967214485456</v>
      </c>
      <c r="C33" s="9" t="s">
        <v>243</v>
      </c>
      <c r="D33" s="8" t="s">
        <v>250</v>
      </c>
    </row>
    <row r="34" customFormat="false" ht="15" hidden="false" customHeight="true" outlineLevel="0" collapsed="false">
      <c r="A34" s="9" t="s">
        <v>109</v>
      </c>
      <c r="B34" s="13" t="n">
        <f aca="false">Inputs!$B$3*Sourced_Constants!$C$30</f>
        <v>51.0967214485456</v>
      </c>
      <c r="C34" s="9" t="s">
        <v>243</v>
      </c>
      <c r="D34" s="8" t="s">
        <v>251</v>
      </c>
    </row>
    <row r="35" customFormat="false" ht="15" hidden="false" customHeight="true" outlineLevel="0" collapsed="false">
      <c r="A35" s="14" t="s">
        <v>252</v>
      </c>
      <c r="B35" s="15" t="n">
        <f aca="false">B27+B28+B29+B30+B31+B32+B33+B34</f>
        <v>2252.90090023133</v>
      </c>
      <c r="C35" s="14" t="s">
        <v>243</v>
      </c>
      <c r="D35" s="16" t="s">
        <v>253</v>
      </c>
    </row>
    <row r="36" customFormat="false" ht="15" hidden="false" customHeight="true" outlineLevel="0" collapsed="false">
      <c r="A36" s="10" t="s">
        <v>111</v>
      </c>
      <c r="B36" s="10"/>
      <c r="C36" s="10"/>
      <c r="D36" s="10"/>
    </row>
    <row r="37" customFormat="false" ht="15" hidden="false" customHeight="true" outlineLevel="0" collapsed="false">
      <c r="A37" s="9" t="s">
        <v>112</v>
      </c>
      <c r="B37" s="13" t="n">
        <f aca="false">Inputs!$B$3*Sourced_Constants!$C$32</f>
        <v>297.290015700629</v>
      </c>
      <c r="C37" s="9" t="s">
        <v>254</v>
      </c>
      <c r="D37" s="8" t="s">
        <v>255</v>
      </c>
    </row>
    <row r="38" customFormat="false" ht="15" hidden="false" customHeight="true" outlineLevel="0" collapsed="false">
      <c r="A38" s="9" t="s">
        <v>116</v>
      </c>
      <c r="B38" s="13" t="n">
        <f aca="false">Inputs!$B$3*Sourced_Constants!$C$33</f>
        <v>232.257824766116</v>
      </c>
      <c r="C38" s="9" t="s">
        <v>254</v>
      </c>
      <c r="D38" s="8" t="s">
        <v>256</v>
      </c>
    </row>
    <row r="39" customFormat="false" ht="21.75" hidden="false" customHeight="true" outlineLevel="0" collapsed="false">
      <c r="A39" s="9" t="s">
        <v>257</v>
      </c>
      <c r="B39" s="13" t="n">
        <f aca="false">Inputs!$B$3*Sourced_Constants!$C$34</f>
        <v>25.0838450747406</v>
      </c>
      <c r="C39" s="9" t="s">
        <v>224</v>
      </c>
      <c r="D39" s="8" t="s">
        <v>258</v>
      </c>
    </row>
    <row r="40" customFormat="false" ht="15" hidden="false" customHeight="true" outlineLevel="0" collapsed="false">
      <c r="A40" s="10" t="s">
        <v>121</v>
      </c>
      <c r="B40" s="10"/>
      <c r="C40" s="10"/>
      <c r="D40" s="10"/>
    </row>
    <row r="41" customFormat="false" ht="21.75" hidden="false" customHeight="true" outlineLevel="0" collapsed="false">
      <c r="A41" s="9" t="s">
        <v>259</v>
      </c>
      <c r="B41" s="13" t="n">
        <f aca="false">Inputs!$B$3*Sourced_Constants!$C$36</f>
        <v>14.8645007850315</v>
      </c>
      <c r="C41" s="9" t="s">
        <v>224</v>
      </c>
      <c r="D41" s="8" t="s">
        <v>260</v>
      </c>
    </row>
    <row r="42" customFormat="false" ht="15" hidden="false" customHeight="true" outlineLevel="0" collapsed="false">
      <c r="A42" s="9" t="s">
        <v>125</v>
      </c>
      <c r="B42" s="13" t="n">
        <f aca="false">Inputs!$B$3*Sourced_Constants!$C$37</f>
        <v>69.6773474298349</v>
      </c>
      <c r="C42" s="9" t="s">
        <v>254</v>
      </c>
      <c r="D42" s="8" t="s">
        <v>261</v>
      </c>
    </row>
    <row r="43" customFormat="false" ht="15" hidden="false" customHeight="true" outlineLevel="0" collapsed="false">
      <c r="A43" s="9" t="s">
        <v>127</v>
      </c>
      <c r="B43" s="13" t="n">
        <f aca="false">Inputs!$B$3*Sourced_Constants!$C$38</f>
        <v>4.64515649532233</v>
      </c>
      <c r="C43" s="9" t="s">
        <v>254</v>
      </c>
      <c r="D43" s="8" t="s">
        <v>262</v>
      </c>
    </row>
    <row r="44" customFormat="false" ht="15" hidden="false" customHeight="true" outlineLevel="0" collapsed="false">
      <c r="A44" s="9" t="s">
        <v>131</v>
      </c>
      <c r="B44" s="13" t="n">
        <f aca="false">Inputs!$B$3*Sourced_Constants!$C$39</f>
        <v>18.5806259812893</v>
      </c>
      <c r="C44" s="9" t="s">
        <v>254</v>
      </c>
      <c r="D44" s="8" t="s">
        <v>263</v>
      </c>
    </row>
    <row r="45" customFormat="false" ht="15" hidden="false" customHeight="true" outlineLevel="0" collapsed="false">
      <c r="A45" s="9" t="s">
        <v>133</v>
      </c>
      <c r="B45" s="13" t="n">
        <f aca="false">Inputs!$B$3*Sourced_Constants!$C$40</f>
        <v>13.935469485967</v>
      </c>
      <c r="C45" s="9" t="s">
        <v>254</v>
      </c>
      <c r="D45" s="8" t="s">
        <v>264</v>
      </c>
    </row>
    <row r="46" customFormat="false" ht="15" hidden="false" customHeight="true" outlineLevel="0" collapsed="false">
      <c r="A46" s="9" t="s">
        <v>135</v>
      </c>
      <c r="B46" s="13" t="n">
        <f aca="false">Inputs!$B$3*Sourced_Constants!$C$41</f>
        <v>5.94580031401258</v>
      </c>
      <c r="C46" s="9" t="s">
        <v>254</v>
      </c>
      <c r="D46" s="8" t="s">
        <v>265</v>
      </c>
    </row>
    <row r="47" customFormat="false" ht="15" hidden="false" customHeight="true" outlineLevel="0" collapsed="false">
      <c r="A47" s="9" t="s">
        <v>137</v>
      </c>
      <c r="B47" s="13" t="n">
        <f aca="false">Inputs!$B$3*Sourced_Constants!$C$42</f>
        <v>76.1805665232862</v>
      </c>
      <c r="C47" s="9" t="s">
        <v>266</v>
      </c>
      <c r="D47" s="8" t="s">
        <v>267</v>
      </c>
    </row>
    <row r="48" customFormat="false" ht="15" hidden="false" customHeight="true" outlineLevel="0" collapsed="false">
      <c r="A48" s="9" t="s">
        <v>140</v>
      </c>
      <c r="B48" s="13" t="n">
        <f aca="false">Inputs!$B$3*Sourced_Constants!$C$43</f>
        <v>3.71612519625786</v>
      </c>
      <c r="C48" s="9" t="s">
        <v>266</v>
      </c>
      <c r="D48" s="8" t="s">
        <v>268</v>
      </c>
    </row>
    <row r="49" customFormat="false" ht="15" hidden="false" customHeight="true" outlineLevel="0" collapsed="false">
      <c r="A49" s="10" t="s">
        <v>142</v>
      </c>
      <c r="B49" s="10"/>
      <c r="C49" s="10"/>
      <c r="D49" s="10"/>
    </row>
    <row r="50" customFormat="false" ht="15" hidden="false" customHeight="true" outlineLevel="0" collapsed="false">
      <c r="A50" s="9" t="s">
        <v>143</v>
      </c>
      <c r="B50" s="13" t="n">
        <f aca="false">Inputs!$B$3*Sourced_Constants!$C$45</f>
        <v>8.36128169158019</v>
      </c>
      <c r="C50" s="9" t="s">
        <v>237</v>
      </c>
      <c r="D50" s="8" t="s">
        <v>269</v>
      </c>
    </row>
    <row r="51" customFormat="false" ht="15" hidden="false" customHeight="true" outlineLevel="0" collapsed="false">
      <c r="A51" s="9" t="s">
        <v>146</v>
      </c>
      <c r="B51" s="13" t="n">
        <f aca="false">Inputs!$B$3*Sourced_Constants!$C$46</f>
        <v>13.0064381869025</v>
      </c>
      <c r="C51" s="9" t="s">
        <v>254</v>
      </c>
      <c r="D51" s="8" t="s">
        <v>270</v>
      </c>
    </row>
    <row r="52" customFormat="false" ht="15" hidden="false" customHeight="true" outlineLevel="0" collapsed="false">
      <c r="A52" s="10" t="s">
        <v>147</v>
      </c>
      <c r="B52" s="10"/>
      <c r="C52" s="10"/>
      <c r="D52" s="10"/>
    </row>
    <row r="53" customFormat="false" ht="15" hidden="false" customHeight="true" outlineLevel="0" collapsed="false">
      <c r="A53" s="9" t="s">
        <v>148</v>
      </c>
      <c r="B53" s="13" t="n">
        <f aca="false">Inputs!$B$3*Sourced_Constants!$C$48</f>
        <v>13.0064381869025</v>
      </c>
      <c r="C53" s="9" t="s">
        <v>254</v>
      </c>
      <c r="D53" s="8" t="s">
        <v>271</v>
      </c>
    </row>
    <row r="54" customFormat="false" ht="15" hidden="false" customHeight="true" outlineLevel="0" collapsed="false">
      <c r="A54" s="9" t="s">
        <v>151</v>
      </c>
      <c r="B54" s="13" t="n">
        <f aca="false">Inputs!$B$3*Sourced_Constants!$C$49</f>
        <v>13.0064381869025</v>
      </c>
      <c r="C54" s="9" t="s">
        <v>254</v>
      </c>
      <c r="D54" s="8" t="s">
        <v>272</v>
      </c>
    </row>
    <row r="55" customFormat="false" ht="15" hidden="false" customHeight="true" outlineLevel="0" collapsed="false">
      <c r="A55" s="10" t="s">
        <v>153</v>
      </c>
      <c r="B55" s="10"/>
      <c r="C55" s="10"/>
      <c r="D55" s="10"/>
    </row>
    <row r="56" customFormat="false" ht="21.75" hidden="false" customHeight="true" outlineLevel="0" collapsed="false">
      <c r="A56" s="9" t="s">
        <v>273</v>
      </c>
      <c r="B56" s="13" t="n">
        <f aca="false">Inputs!$B$3*Sourced_Constants!$C$51</f>
        <v>57.5999405419969</v>
      </c>
      <c r="C56" s="9" t="s">
        <v>254</v>
      </c>
      <c r="D56" s="8" t="s">
        <v>274</v>
      </c>
    </row>
    <row r="57" customFormat="false" ht="23.25" hidden="false" customHeight="true" outlineLevel="0" collapsed="false">
      <c r="A57" s="9" t="s">
        <v>275</v>
      </c>
      <c r="B57" s="13" t="n">
        <f aca="false">B51*Sourced_Constants!$C$52</f>
        <v>29.2644859205307</v>
      </c>
      <c r="C57" s="9" t="s">
        <v>254</v>
      </c>
      <c r="D57" s="8" t="s">
        <v>276</v>
      </c>
    </row>
    <row r="58" customFormat="false" ht="21.75" hidden="false" customHeight="true" outlineLevel="0" collapsed="false">
      <c r="A58" s="9" t="s">
        <v>277</v>
      </c>
      <c r="B58" s="13" t="n">
        <f aca="false">B53*Sourced_Constants!$C$53</f>
        <v>19.5096572803538</v>
      </c>
      <c r="C58" s="9" t="s">
        <v>254</v>
      </c>
      <c r="D58" s="8" t="s">
        <v>278</v>
      </c>
    </row>
    <row r="59" customFormat="false" ht="23.25" hidden="false" customHeight="true" outlineLevel="0" collapsed="false">
      <c r="A59" s="9" t="s">
        <v>279</v>
      </c>
      <c r="B59" s="13" t="n">
        <f aca="false">Inputs!$B$3*Sourced_Constants!$C$32</f>
        <v>297.290015700629</v>
      </c>
      <c r="C59" s="9" t="s">
        <v>254</v>
      </c>
      <c r="D59" s="8" t="s">
        <v>280</v>
      </c>
    </row>
    <row r="60" customFormat="false" ht="23.25" hidden="false" customHeight="true" outlineLevel="0" collapsed="false">
      <c r="A60" s="9" t="s">
        <v>281</v>
      </c>
      <c r="B60" s="13" t="n">
        <f aca="false">Inputs!$B$3*Sourced_Constants!$C$33</f>
        <v>232.257824766116</v>
      </c>
      <c r="C60" s="9" t="s">
        <v>254</v>
      </c>
      <c r="D60" s="8" t="s">
        <v>282</v>
      </c>
    </row>
    <row r="61" customFormat="false" ht="15" hidden="false" customHeight="true" outlineLevel="0" collapsed="false">
      <c r="A61" s="10" t="s">
        <v>163</v>
      </c>
      <c r="B61" s="10"/>
      <c r="C61" s="10"/>
      <c r="D61" s="10"/>
    </row>
    <row r="62" customFormat="false" ht="15" hidden="false" customHeight="true" outlineLevel="0" collapsed="false">
      <c r="A62" s="9" t="s">
        <v>164</v>
      </c>
      <c r="B62" s="13" t="n">
        <f aca="false">Inputs!$B$3*Sourced_Constants!$C$55</f>
        <v>27.870938971934</v>
      </c>
      <c r="C62" s="9" t="s">
        <v>254</v>
      </c>
      <c r="D62" s="8" t="s">
        <v>283</v>
      </c>
    </row>
    <row r="63" customFormat="false" ht="15" hidden="false" customHeight="true" outlineLevel="0" collapsed="false">
      <c r="A63" s="9" t="s">
        <v>167</v>
      </c>
      <c r="B63" s="13" t="n">
        <f aca="false">Inputs!$B$3*Sourced_Constants!$C$56</f>
        <v>2.7870938971934</v>
      </c>
      <c r="C63" s="9" t="s">
        <v>205</v>
      </c>
      <c r="D63" s="8" t="s">
        <v>284</v>
      </c>
    </row>
    <row r="64" customFormat="false" ht="15" hidden="false" customHeight="true" outlineLevel="0" collapsed="false">
      <c r="A64" s="10" t="s">
        <v>169</v>
      </c>
      <c r="B64" s="10"/>
      <c r="C64" s="10"/>
      <c r="D64" s="10"/>
    </row>
    <row r="65" customFormat="false" ht="15" hidden="false" customHeight="true" outlineLevel="0" collapsed="false">
      <c r="A65" s="9" t="s">
        <v>170</v>
      </c>
      <c r="B65" s="13" t="n">
        <f aca="false">Inputs!$B$3*Sourced_Constants!$C$58</f>
        <v>2.7870938971934</v>
      </c>
      <c r="C65" s="9" t="s">
        <v>254</v>
      </c>
      <c r="D65" s="8" t="s">
        <v>285</v>
      </c>
    </row>
    <row r="66" customFormat="false" ht="15" hidden="false" customHeight="true" outlineLevel="0" collapsed="false">
      <c r="A66" s="10" t="s">
        <v>286</v>
      </c>
      <c r="B66" s="10"/>
      <c r="C66" s="10"/>
      <c r="D66" s="10"/>
    </row>
    <row r="67" customFormat="false" ht="15" hidden="false" customHeight="true" outlineLevel="0" collapsed="false">
      <c r="A67" s="9" t="s">
        <v>287</v>
      </c>
      <c r="B67" s="13" t="n">
        <f aca="false">Inputs!$B$2*Sourced_Constants!$C$60</f>
        <v>20</v>
      </c>
      <c r="C67" s="9" t="s">
        <v>237</v>
      </c>
      <c r="D67" s="8" t="s">
        <v>288</v>
      </c>
    </row>
    <row r="68" customFormat="false" ht="21.75" hidden="false" customHeight="true" outlineLevel="0" collapsed="false">
      <c r="A68" s="9" t="s">
        <v>289</v>
      </c>
      <c r="B68" s="13" t="n">
        <f aca="false">B67*Sourced_Constants!$C$61</f>
        <v>1300</v>
      </c>
      <c r="C68" s="9" t="s">
        <v>290</v>
      </c>
      <c r="D68" s="8" t="s">
        <v>291</v>
      </c>
    </row>
    <row r="69" customFormat="false" ht="15" hidden="false" customHeight="true" outlineLevel="0" collapsed="false">
      <c r="A69" s="9" t="s">
        <v>292</v>
      </c>
      <c r="B69" s="13" t="n">
        <f aca="false">Inputs!$B$2*Sourced_Constants!$C$62</f>
        <v>240</v>
      </c>
      <c r="C69" s="9" t="s">
        <v>290</v>
      </c>
      <c r="D69" s="8" t="s">
        <v>293</v>
      </c>
    </row>
    <row r="70" customFormat="false" ht="21.75" hidden="false" customHeight="true" outlineLevel="0" collapsed="false">
      <c r="A70" s="9" t="s">
        <v>294</v>
      </c>
      <c r="B70" s="13" t="n">
        <f aca="false">B69*Sourced_Constants!$C$63</f>
        <v>120</v>
      </c>
      <c r="C70" s="9" t="s">
        <v>237</v>
      </c>
      <c r="D70" s="8" t="s">
        <v>295</v>
      </c>
    </row>
    <row r="71" customFormat="false" ht="15" hidden="false" customHeight="true" outlineLevel="0" collapsed="false">
      <c r="A71" s="9" t="s">
        <v>296</v>
      </c>
      <c r="B71" s="13" t="n">
        <f aca="false">Inputs!$B$2*Sourced_Constants!$C$64</f>
        <v>160</v>
      </c>
      <c r="C71" s="9" t="s">
        <v>237</v>
      </c>
      <c r="D71" s="8" t="s">
        <v>297</v>
      </c>
    </row>
    <row r="72" customFormat="false" ht="15" hidden="false" customHeight="true" outlineLevel="0" collapsed="false">
      <c r="A72" s="9" t="s">
        <v>298</v>
      </c>
      <c r="B72" s="13" t="n">
        <f aca="false">Inputs!$B$2*Sourced_Constants!$C$65</f>
        <v>400</v>
      </c>
      <c r="C72" s="9" t="s">
        <v>290</v>
      </c>
      <c r="D72" s="8" t="s">
        <v>299</v>
      </c>
    </row>
    <row r="73" customFormat="false" ht="15" hidden="false" customHeight="true" outlineLevel="0" collapsed="false">
      <c r="A73" s="9" t="s">
        <v>191</v>
      </c>
      <c r="B73" s="13" t="n">
        <f aca="false">Inputs!$B$2*Sourced_Constants!$C$66</f>
        <v>160</v>
      </c>
      <c r="C73" s="9" t="s">
        <v>237</v>
      </c>
      <c r="D73" s="8" t="s">
        <v>300</v>
      </c>
    </row>
    <row r="74" customFormat="false" ht="15" hidden="false" customHeight="true" outlineLevel="0" collapsed="false">
      <c r="A74" s="9" t="s">
        <v>193</v>
      </c>
      <c r="B74" s="13" t="n">
        <f aca="false">Inputs!$B$2*Sourced_Constants!$C$67</f>
        <v>20</v>
      </c>
      <c r="C74" s="9" t="s">
        <v>243</v>
      </c>
      <c r="D74" s="8" t="s">
        <v>301</v>
      </c>
    </row>
    <row r="75" customFormat="false" ht="15" hidden="false" customHeight="true" outlineLevel="0" collapsed="false">
      <c r="A75" s="9" t="s">
        <v>196</v>
      </c>
      <c r="B75" s="13" t="n">
        <f aca="false">Inputs!$B$2*Sourced_Constants!$C$68</f>
        <v>6</v>
      </c>
      <c r="C75" s="9" t="s">
        <v>302</v>
      </c>
      <c r="D75" s="8" t="s">
        <v>303</v>
      </c>
    </row>
    <row r="76" customFormat="false" ht="15" hidden="false" customHeight="true" outlineLevel="0" collapsed="false">
      <c r="A76" s="9" t="s">
        <v>199</v>
      </c>
      <c r="B76" s="13" t="n">
        <f aca="false">Inputs!$B$2*Sourced_Constants!$C$69</f>
        <v>80</v>
      </c>
      <c r="C76" s="9" t="s">
        <v>237</v>
      </c>
      <c r="D76" s="8" t="s">
        <v>304</v>
      </c>
    </row>
  </sheetData>
  <mergeCells count="15">
    <mergeCell ref="A1:D1"/>
    <mergeCell ref="A3:D3"/>
    <mergeCell ref="A9:D9"/>
    <mergeCell ref="A14:D14"/>
    <mergeCell ref="A20:D20"/>
    <mergeCell ref="A22:D22"/>
    <mergeCell ref="A26:D26"/>
    <mergeCell ref="A36:D36"/>
    <mergeCell ref="A40:D40"/>
    <mergeCell ref="A49:D49"/>
    <mergeCell ref="A52:D52"/>
    <mergeCell ref="A55:D55"/>
    <mergeCell ref="A61:D61"/>
    <mergeCell ref="A64:D64"/>
    <mergeCell ref="A66:D6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3" min="3" style="1" width="12"/>
    <col collapsed="false" customWidth="true" hidden="false" outlineLevel="0" max="4" min="4" style="1" width="55"/>
  </cols>
  <sheetData>
    <row r="1" customFormat="false" ht="15" hidden="false" customHeight="true" outlineLevel="0" collapsed="false">
      <c r="A1" s="12" t="s">
        <v>305</v>
      </c>
      <c r="B1" s="12"/>
      <c r="C1" s="12"/>
      <c r="D1" s="12"/>
    </row>
    <row r="2" customFormat="false" ht="26.25" hidden="false" customHeight="true" outlineLevel="0" collapsed="false">
      <c r="A2" s="5" t="s">
        <v>25</v>
      </c>
      <c r="B2" s="5" t="s">
        <v>306</v>
      </c>
      <c r="C2" s="5" t="s">
        <v>29</v>
      </c>
      <c r="D2" s="5" t="s">
        <v>32</v>
      </c>
    </row>
    <row r="3" customFormat="false" ht="60" hidden="false" customHeight="true" outlineLevel="0" collapsed="false">
      <c r="A3" s="17" t="s">
        <v>307</v>
      </c>
      <c r="B3" s="17"/>
      <c r="C3" s="17"/>
      <c r="D3" s="17"/>
    </row>
    <row r="5" customFormat="false" ht="15" hidden="false" customHeight="true" outlineLevel="0" collapsed="false">
      <c r="A5" s="10" t="s">
        <v>308</v>
      </c>
      <c r="B5" s="10"/>
      <c r="C5" s="10"/>
      <c r="D5" s="10"/>
    </row>
    <row r="6" customFormat="false" ht="15" hidden="false" customHeight="true" outlineLevel="0" collapsed="false">
      <c r="A6" s="9" t="s">
        <v>309</v>
      </c>
      <c r="B6" s="18"/>
      <c r="C6" s="9"/>
      <c r="D6" s="8" t="s">
        <v>310</v>
      </c>
    </row>
    <row r="7" customFormat="false" ht="23.25" hidden="false" customHeight="true" outlineLevel="0" collapsed="false">
      <c r="A7" s="9" t="s">
        <v>311</v>
      </c>
      <c r="B7" s="18"/>
      <c r="C7" s="9"/>
      <c r="D7" s="8" t="s">
        <v>310</v>
      </c>
    </row>
    <row r="8" customFormat="false" ht="23.25" hidden="false" customHeight="true" outlineLevel="0" collapsed="false">
      <c r="A8" s="9" t="s">
        <v>312</v>
      </c>
      <c r="B8" s="18"/>
      <c r="C8" s="9"/>
      <c r="D8" s="8" t="s">
        <v>310</v>
      </c>
    </row>
    <row r="9" customFormat="false" ht="15" hidden="false" customHeight="true" outlineLevel="0" collapsed="false">
      <c r="A9" s="9" t="s">
        <v>313</v>
      </c>
      <c r="B9" s="18"/>
      <c r="C9" s="9"/>
      <c r="D9" s="8" t="s">
        <v>310</v>
      </c>
    </row>
    <row r="10" customFormat="false" ht="15" hidden="false" customHeight="true" outlineLevel="0" collapsed="false">
      <c r="A10" s="9" t="s">
        <v>314</v>
      </c>
      <c r="B10" s="18"/>
      <c r="C10" s="9"/>
      <c r="D10" s="8" t="s">
        <v>310</v>
      </c>
    </row>
    <row r="11" customFormat="false" ht="15" hidden="false" customHeight="true" outlineLevel="0" collapsed="false">
      <c r="A11" s="9" t="s">
        <v>315</v>
      </c>
      <c r="B11" s="18"/>
      <c r="C11" s="9"/>
      <c r="D11" s="8" t="s">
        <v>310</v>
      </c>
    </row>
    <row r="12" customFormat="false" ht="15" hidden="false" customHeight="true" outlineLevel="0" collapsed="false">
      <c r="A12" s="9" t="s">
        <v>316</v>
      </c>
      <c r="B12" s="18"/>
      <c r="C12" s="9"/>
      <c r="D12" s="8" t="s">
        <v>310</v>
      </c>
    </row>
    <row r="13" customFormat="false" ht="15" hidden="false" customHeight="true" outlineLevel="0" collapsed="false">
      <c r="A13" s="9" t="s">
        <v>317</v>
      </c>
      <c r="B13" s="18"/>
      <c r="C13" s="9"/>
      <c r="D13" s="8" t="s">
        <v>310</v>
      </c>
    </row>
    <row r="14" customFormat="false" ht="15" hidden="false" customHeight="true" outlineLevel="0" collapsed="false">
      <c r="A14" s="9" t="s">
        <v>318</v>
      </c>
      <c r="B14" s="18"/>
      <c r="C14" s="9"/>
      <c r="D14" s="8" t="s">
        <v>310</v>
      </c>
    </row>
    <row r="15" customFormat="false" ht="15" hidden="false" customHeight="true" outlineLevel="0" collapsed="false">
      <c r="A15" s="9" t="s">
        <v>319</v>
      </c>
      <c r="B15" s="18"/>
      <c r="C15" s="9"/>
      <c r="D15" s="8" t="s">
        <v>310</v>
      </c>
    </row>
    <row r="16" customFormat="false" ht="15" hidden="false" customHeight="true" outlineLevel="0" collapsed="false">
      <c r="A16" s="10" t="s">
        <v>320</v>
      </c>
      <c r="B16" s="10"/>
      <c r="C16" s="10"/>
      <c r="D16" s="10"/>
    </row>
    <row r="17" customFormat="false" ht="15" hidden="false" customHeight="true" outlineLevel="0" collapsed="false">
      <c r="A17" s="9" t="s">
        <v>321</v>
      </c>
      <c r="B17" s="18"/>
      <c r="C17" s="9"/>
      <c r="D17" s="8" t="s">
        <v>310</v>
      </c>
    </row>
    <row r="18" customFormat="false" ht="15" hidden="false" customHeight="true" outlineLevel="0" collapsed="false">
      <c r="A18" s="9" t="s">
        <v>322</v>
      </c>
      <c r="B18" s="18"/>
      <c r="C18" s="9"/>
      <c r="D18" s="8" t="s">
        <v>310</v>
      </c>
    </row>
    <row r="19" customFormat="false" ht="15" hidden="false" customHeight="true" outlineLevel="0" collapsed="false">
      <c r="A19" s="9" t="s">
        <v>323</v>
      </c>
      <c r="B19" s="18"/>
      <c r="C19" s="9"/>
      <c r="D19" s="8" t="s">
        <v>310</v>
      </c>
    </row>
    <row r="20" customFormat="false" ht="15" hidden="false" customHeight="true" outlineLevel="0" collapsed="false">
      <c r="A20" s="9" t="s">
        <v>324</v>
      </c>
      <c r="B20" s="18"/>
      <c r="C20" s="9"/>
      <c r="D20" s="8" t="s">
        <v>310</v>
      </c>
    </row>
    <row r="21" customFormat="false" ht="15" hidden="false" customHeight="true" outlineLevel="0" collapsed="false">
      <c r="A21" s="9" t="s">
        <v>325</v>
      </c>
      <c r="B21" s="18"/>
      <c r="C21" s="9"/>
      <c r="D21" s="8" t="s">
        <v>310</v>
      </c>
    </row>
    <row r="22" customFormat="false" ht="15" hidden="false" customHeight="true" outlineLevel="0" collapsed="false">
      <c r="A22" s="9" t="s">
        <v>326</v>
      </c>
      <c r="B22" s="18"/>
      <c r="C22" s="9"/>
      <c r="D22" s="8" t="s">
        <v>310</v>
      </c>
    </row>
    <row r="23" customFormat="false" ht="15" hidden="false" customHeight="true" outlineLevel="0" collapsed="false">
      <c r="A23" s="9" t="s">
        <v>327</v>
      </c>
      <c r="B23" s="18"/>
      <c r="C23" s="9"/>
      <c r="D23" s="8" t="s">
        <v>310</v>
      </c>
    </row>
    <row r="24" customFormat="false" ht="15" hidden="false" customHeight="true" outlineLevel="0" collapsed="false">
      <c r="A24" s="9" t="s">
        <v>328</v>
      </c>
      <c r="B24" s="18"/>
      <c r="C24" s="9"/>
      <c r="D24" s="8" t="s">
        <v>310</v>
      </c>
    </row>
    <row r="25" customFormat="false" ht="15" hidden="false" customHeight="true" outlineLevel="0" collapsed="false">
      <c r="A25" s="9" t="s">
        <v>329</v>
      </c>
      <c r="B25" s="18"/>
      <c r="C25" s="9"/>
      <c r="D25" s="8" t="s">
        <v>310</v>
      </c>
    </row>
    <row r="26" customFormat="false" ht="15" hidden="false" customHeight="true" outlineLevel="0" collapsed="false">
      <c r="A26" s="9" t="s">
        <v>330</v>
      </c>
      <c r="B26" s="18"/>
      <c r="C26" s="9"/>
      <c r="D26" s="8" t="s">
        <v>310</v>
      </c>
    </row>
  </sheetData>
  <mergeCells count="4">
    <mergeCell ref="A1:D1"/>
    <mergeCell ref="A3:D3"/>
    <mergeCell ref="A5:D5"/>
    <mergeCell ref="A16:D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15" hidden="false" customHeight="true" outlineLevel="0" collapsed="false">
      <c r="A1" s="5" t="s">
        <v>331</v>
      </c>
      <c r="B1" s="5"/>
    </row>
    <row r="3" customFormat="false" ht="90" hidden="false" customHeight="true" outlineLevel="0" collapsed="false">
      <c r="A3" s="19" t="s">
        <v>332</v>
      </c>
      <c r="B3" s="9" t="s">
        <v>333</v>
      </c>
    </row>
    <row r="4" customFormat="false" ht="90" hidden="false" customHeight="true" outlineLevel="0" collapsed="false">
      <c r="A4" s="19" t="s">
        <v>334</v>
      </c>
      <c r="B4" s="9" t="s">
        <v>335</v>
      </c>
    </row>
    <row r="5" customFormat="false" ht="90" hidden="false" customHeight="true" outlineLevel="0" collapsed="false">
      <c r="A5" s="19" t="s">
        <v>336</v>
      </c>
      <c r="B5" s="9" t="s">
        <v>337</v>
      </c>
    </row>
    <row r="6" customFormat="false" ht="90" hidden="false" customHeight="true" outlineLevel="0" collapsed="false">
      <c r="A6" s="19" t="s">
        <v>338</v>
      </c>
      <c r="B6" s="9" t="s">
        <v>339</v>
      </c>
    </row>
    <row r="7" customFormat="false" ht="90" hidden="false" customHeight="true" outlineLevel="0" collapsed="false">
      <c r="A7" s="19" t="s">
        <v>340</v>
      </c>
      <c r="B7" s="9" t="s">
        <v>341</v>
      </c>
    </row>
    <row r="8" customFormat="false" ht="90" hidden="false" customHeight="true" outlineLevel="0" collapsed="false">
      <c r="A8" s="19" t="s">
        <v>342</v>
      </c>
      <c r="B8" s="9" t="s">
        <v>343</v>
      </c>
    </row>
    <row r="9" customFormat="false" ht="90" hidden="false" customHeight="true" outlineLevel="0" collapsed="false">
      <c r="A9" s="19" t="s">
        <v>344</v>
      </c>
      <c r="B9" s="9" t="s">
        <v>345</v>
      </c>
    </row>
    <row r="10" customFormat="false" ht="90" hidden="false" customHeight="true" outlineLevel="0" collapsed="false">
      <c r="A10" s="19" t="s">
        <v>346</v>
      </c>
      <c r="B10" s="9" t="s">
        <v>347</v>
      </c>
    </row>
    <row r="11" customFormat="false" ht="90" hidden="false" customHeight="true" outlineLevel="0" collapsed="false">
      <c r="A11" s="19" t="s">
        <v>348</v>
      </c>
      <c r="B11" s="9" t="s">
        <v>349</v>
      </c>
    </row>
    <row r="12" customFormat="false" ht="90" hidden="false" customHeight="true" outlineLevel="0" collapsed="false">
      <c r="A12" s="19" t="s">
        <v>11</v>
      </c>
      <c r="B12" s="9" t="s">
        <v>350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2026-09-01T11:06:01Z</dcterms:created>
  <dc:creator>openpyxl</dc:creator>
  <dc:description/>
  <dc:language>en-US</dc:language>
  <cp:lastModifiedBy/>
  <dcterms:modified xsi:type="dcterms:W3CDTF">2026-09-01T11:08:40Z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