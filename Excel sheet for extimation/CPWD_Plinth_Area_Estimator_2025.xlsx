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0" yWindow="0" windowWidth="30720" windowHeight="12240" activeTab="1"/>
  </bookViews>
  <sheets>
    <sheet name="Legend" sheetId="1" r:id="rId1"/>
    <sheet name="Estimator" sheetId="2" r:id="rId2"/>
    <sheet name="01 Building Cost" sheetId="3" r:id="rId3"/>
    <sheet name="02 Services" sheetId="4" r:id="rId4"/>
    <sheet name="03 TPQA Consultancy" sheetId="5" r:id="rId5"/>
    <sheet name="04 Lifts" sheetId="6" r:id="rId6"/>
    <sheet name="05 RCC Water Tank" sheetId="7" r:id="rId7"/>
    <sheet name="06 Development of Site" sheetId="8" r:id="rId8"/>
    <sheet name="07 Specialized E&amp;M" sheetId="9" r:id="rId9"/>
    <sheet name="08 Notes" sheetId="10" r:id="rId10"/>
    <sheet name="09 Cost Index" sheetId="11" r:id="rId11"/>
    <sheet name="10 Source Check" sheetId="12" r:id="rId12"/>
  </sheets>
  <calcPr calcId="162913"/>
</workbook>
</file>

<file path=xl/calcChain.xml><?xml version="1.0" encoding="utf-8"?>
<calcChain xmlns="http://schemas.openxmlformats.org/spreadsheetml/2006/main">
  <c r="I17" i="6" l="1"/>
  <c r="H17" i="6"/>
  <c r="I16" i="6"/>
  <c r="H16" i="6"/>
  <c r="I15" i="6"/>
  <c r="H15" i="6"/>
  <c r="I14" i="6"/>
  <c r="H14" i="6"/>
  <c r="I13" i="6"/>
  <c r="H13" i="6"/>
  <c r="I12" i="6"/>
  <c r="H12" i="6"/>
  <c r="I11" i="6"/>
  <c r="H11" i="6"/>
  <c r="I10" i="6"/>
  <c r="H10" i="6"/>
  <c r="I9" i="6"/>
  <c r="H9" i="6"/>
  <c r="I8" i="6"/>
  <c r="H8" i="6"/>
  <c r="I7" i="6"/>
  <c r="H7" i="6"/>
  <c r="I6" i="6"/>
  <c r="H6" i="6"/>
  <c r="I5" i="6"/>
  <c r="H5" i="6"/>
  <c r="G178" i="2"/>
  <c r="F178" i="2"/>
  <c r="G177" i="2"/>
  <c r="F177" i="2"/>
  <c r="D177" i="2"/>
  <c r="G176" i="2"/>
  <c r="F176" i="2"/>
  <c r="G175" i="2"/>
  <c r="F175" i="2"/>
  <c r="G174" i="2"/>
  <c r="F174" i="2"/>
  <c r="G173" i="2"/>
  <c r="F173" i="2"/>
  <c r="G172" i="2"/>
  <c r="F172" i="2"/>
  <c r="G171" i="2"/>
  <c r="F171" i="2"/>
  <c r="G170" i="2"/>
  <c r="F170" i="2"/>
  <c r="G169" i="2"/>
  <c r="F169" i="2"/>
  <c r="F167" i="2"/>
  <c r="G167" i="2" s="1"/>
  <c r="G166" i="2"/>
  <c r="F166" i="2"/>
  <c r="G165" i="2"/>
  <c r="F165" i="2"/>
  <c r="B163" i="2"/>
  <c r="G162" i="2"/>
  <c r="F162" i="2"/>
  <c r="D162" i="2"/>
  <c r="G160" i="2"/>
  <c r="F160" i="2"/>
  <c r="G159" i="2"/>
  <c r="F159" i="2"/>
  <c r="D159" i="2"/>
  <c r="G158" i="2"/>
  <c r="F158" i="2"/>
  <c r="D158" i="2"/>
  <c r="G157" i="2"/>
  <c r="F157" i="2"/>
  <c r="D157" i="2"/>
  <c r="G156" i="2"/>
  <c r="F156" i="2"/>
  <c r="D156" i="2"/>
  <c r="G154" i="2"/>
  <c r="F154" i="2"/>
  <c r="G152" i="2"/>
  <c r="F152" i="2"/>
  <c r="G151" i="2"/>
  <c r="F151" i="2"/>
  <c r="D151" i="2"/>
  <c r="G150" i="2"/>
  <c r="F150" i="2"/>
  <c r="D150" i="2"/>
  <c r="G149" i="2"/>
  <c r="F149" i="2"/>
  <c r="G148" i="2"/>
  <c r="F148" i="2"/>
  <c r="D148" i="2"/>
  <c r="G147" i="2"/>
  <c r="F147" i="2"/>
  <c r="D147" i="2"/>
  <c r="G145" i="2"/>
  <c r="F145" i="2"/>
  <c r="G144" i="2"/>
  <c r="F144" i="2"/>
  <c r="G142" i="2"/>
  <c r="F142" i="2"/>
  <c r="G141" i="2"/>
  <c r="F141" i="2"/>
  <c r="G140" i="2"/>
  <c r="F140" i="2"/>
  <c r="D140" i="2"/>
  <c r="G139" i="2"/>
  <c r="F139" i="2"/>
  <c r="G137" i="2"/>
  <c r="F137" i="2"/>
  <c r="D137" i="2"/>
  <c r="G136" i="2"/>
  <c r="F136" i="2"/>
  <c r="G135" i="2"/>
  <c r="F135" i="2"/>
  <c r="D135" i="2"/>
  <c r="G134" i="2"/>
  <c r="F134" i="2"/>
  <c r="G133" i="2"/>
  <c r="F133" i="2"/>
  <c r="G132" i="2"/>
  <c r="F132" i="2"/>
  <c r="G131" i="2"/>
  <c r="F131" i="2"/>
  <c r="F123" i="2"/>
  <c r="G123" i="2" s="1"/>
  <c r="F122" i="2"/>
  <c r="G122" i="2" s="1"/>
  <c r="F121" i="2"/>
  <c r="G121" i="2" s="1"/>
  <c r="F120" i="2"/>
  <c r="G120" i="2" s="1"/>
  <c r="F119" i="2"/>
  <c r="G119" i="2" s="1"/>
  <c r="F118" i="2"/>
  <c r="G118" i="2" s="1"/>
  <c r="F117" i="2"/>
  <c r="G117" i="2" s="1"/>
  <c r="F116" i="2"/>
  <c r="G116" i="2" s="1"/>
  <c r="F115" i="2"/>
  <c r="G115" i="2" s="1"/>
  <c r="F114" i="2"/>
  <c r="G114" i="2" s="1"/>
  <c r="F111" i="2"/>
  <c r="G105" i="2"/>
  <c r="F105" i="2"/>
  <c r="F104" i="2"/>
  <c r="G104" i="2" s="1"/>
  <c r="G106" i="2" s="1"/>
  <c r="F99" i="2"/>
  <c r="E99" i="2"/>
  <c r="D99" i="2"/>
  <c r="F98" i="2"/>
  <c r="E98" i="2"/>
  <c r="D98" i="2"/>
  <c r="F97" i="2"/>
  <c r="E97" i="2"/>
  <c r="D97" i="2"/>
  <c r="F96" i="2"/>
  <c r="E96" i="2"/>
  <c r="D96" i="2"/>
  <c r="F95" i="2"/>
  <c r="G95" i="2" s="1"/>
  <c r="E95" i="2"/>
  <c r="D95" i="2"/>
  <c r="F94" i="2"/>
  <c r="E94" i="2"/>
  <c r="D94" i="2"/>
  <c r="G89" i="2"/>
  <c r="F89" i="2"/>
  <c r="G88" i="2"/>
  <c r="F88" i="2"/>
  <c r="F80" i="2"/>
  <c r="F79" i="2"/>
  <c r="F78" i="2"/>
  <c r="F77" i="2"/>
  <c r="F76" i="2"/>
  <c r="F75" i="2"/>
  <c r="F68" i="2"/>
  <c r="D68" i="2"/>
  <c r="F67" i="2"/>
  <c r="D67" i="2"/>
  <c r="G66" i="2"/>
  <c r="F66" i="2"/>
  <c r="D66" i="2"/>
  <c r="G65" i="2"/>
  <c r="F65" i="2"/>
  <c r="G63" i="2"/>
  <c r="F63" i="2"/>
  <c r="D63" i="2"/>
  <c r="G62" i="2"/>
  <c r="F62" i="2"/>
  <c r="D62" i="2"/>
  <c r="G61" i="2"/>
  <c r="F61" i="2"/>
  <c r="G59" i="2"/>
  <c r="F59" i="2"/>
  <c r="D59" i="2"/>
  <c r="G58" i="2"/>
  <c r="F58" i="2"/>
  <c r="D58" i="2"/>
  <c r="G57" i="2"/>
  <c r="F57" i="2"/>
  <c r="D57" i="2"/>
  <c r="G56" i="2"/>
  <c r="F56" i="2"/>
  <c r="D56" i="2"/>
  <c r="G55" i="2"/>
  <c r="F55" i="2"/>
  <c r="D55" i="2"/>
  <c r="G54" i="2"/>
  <c r="F54" i="2"/>
  <c r="D54" i="2"/>
  <c r="F53" i="2"/>
  <c r="D53" i="2"/>
  <c r="G53" i="2" s="1"/>
  <c r="G52" i="2"/>
  <c r="F52" i="2"/>
  <c r="D52" i="2"/>
  <c r="F46" i="2"/>
  <c r="C46" i="2"/>
  <c r="D46" i="2" s="1"/>
  <c r="B46" i="2"/>
  <c r="F45" i="2"/>
  <c r="C45" i="2"/>
  <c r="D45" i="2" s="1"/>
  <c r="B45" i="2"/>
  <c r="F44" i="2"/>
  <c r="C44" i="2"/>
  <c r="G44" i="2" s="1"/>
  <c r="B44" i="2"/>
  <c r="F43" i="2"/>
  <c r="C43" i="2"/>
  <c r="D43" i="2" s="1"/>
  <c r="B43" i="2"/>
  <c r="F42" i="2"/>
  <c r="C42" i="2"/>
  <c r="G42" i="2" s="1"/>
  <c r="B42" i="2"/>
  <c r="F41" i="2"/>
  <c r="C41" i="2"/>
  <c r="G41" i="2" s="1"/>
  <c r="B41" i="2"/>
  <c r="F40" i="2"/>
  <c r="C40" i="2"/>
  <c r="G40" i="2" s="1"/>
  <c r="B40" i="2"/>
  <c r="F39" i="2"/>
  <c r="C39" i="2"/>
  <c r="D39" i="2" s="1"/>
  <c r="B39" i="2"/>
  <c r="F38" i="2"/>
  <c r="C38" i="2"/>
  <c r="G38" i="2" s="1"/>
  <c r="B38" i="2"/>
  <c r="F37" i="2"/>
  <c r="C37" i="2"/>
  <c r="D37" i="2" s="1"/>
  <c r="B37" i="2"/>
  <c r="I8" i="2"/>
  <c r="F81" i="2" s="1"/>
  <c r="I6" i="2"/>
  <c r="I4" i="2"/>
  <c r="I2" i="2"/>
  <c r="G94" i="2" l="1"/>
  <c r="D40" i="2"/>
  <c r="G46" i="2"/>
  <c r="G96" i="2"/>
  <c r="G68" i="2"/>
  <c r="G90" i="2"/>
  <c r="G11" i="2" s="1"/>
  <c r="F32" i="2"/>
  <c r="G33" i="2" s="1"/>
  <c r="F82" i="2"/>
  <c r="D44" i="2"/>
  <c r="G45" i="2"/>
  <c r="G98" i="2"/>
  <c r="D38" i="2"/>
  <c r="G39" i="2"/>
  <c r="G67" i="2"/>
  <c r="G97" i="2"/>
  <c r="G99" i="2"/>
  <c r="G186" i="2"/>
  <c r="G13" i="2"/>
  <c r="G184" i="2"/>
  <c r="G124" i="2"/>
  <c r="G179" i="2"/>
  <c r="D42" i="2"/>
  <c r="G37" i="2"/>
  <c r="D41" i="2"/>
  <c r="G43" i="2"/>
  <c r="G100" i="2" l="1"/>
  <c r="G12" i="2"/>
  <c r="G185" i="2"/>
  <c r="G47" i="2"/>
  <c r="G70" i="2" s="1"/>
  <c r="G188" i="2"/>
  <c r="G15" i="2"/>
  <c r="G111" i="2" l="1"/>
  <c r="G125" i="2" s="1"/>
  <c r="G71" i="2"/>
  <c r="G182" i="2"/>
  <c r="G9" i="2"/>
  <c r="G80" i="2" l="1"/>
  <c r="G77" i="2"/>
  <c r="G75" i="2"/>
  <c r="G78" i="2"/>
  <c r="G81" i="2"/>
  <c r="G76" i="2"/>
  <c r="G79" i="2"/>
  <c r="G82" i="2"/>
  <c r="G14" i="2"/>
  <c r="G187" i="2"/>
  <c r="G83" i="2" l="1"/>
  <c r="G10" i="2" l="1"/>
  <c r="G183" i="2"/>
  <c r="G189" i="2"/>
  <c r="G84" i="2"/>
  <c r="G190" i="2" l="1"/>
  <c r="G17" i="2" s="1"/>
  <c r="G16" i="2"/>
  <c r="G192" i="2" l="1"/>
  <c r="G193" i="2" l="1"/>
  <c r="G6" i="2"/>
  <c r="G5" i="2"/>
</calcChain>
</file>

<file path=xl/comments1.xml><?xml version="1.0" encoding="utf-8"?>
<comments xmlns="http://schemas.openxmlformats.org/spreadsheetml/2006/main">
  <authors>
    <author>CPWD Estimator</author>
  </authors>
  <commentList>
    <comment ref="B21" authorId="0" shapeId="0">
      <text>
        <r>
          <rPr>
            <sz val="11"/>
            <color theme="1"/>
            <rFont val="Calibri"/>
            <family val="2"/>
            <scheme val="minor"/>
          </rPr>
          <t>Finest category available. For Section-1 lookups this maps down to the 4-category split used in sheet "01 Building Cost" (Hostels-attached, Hostels-common and Quarters all fall under "Hostels/Quarters" there).</t>
        </r>
      </text>
    </comment>
    <comment ref="B22" authorId="0" shapeId="0">
      <text>
        <r>
          <rPr>
            <sz val="11"/>
            <color theme="1"/>
            <rFont val="Calibri"/>
            <family val="2"/>
            <scheme val="minor"/>
          </rPr>
          <t>Governs the base rate (1.1/1.2) and the stronger-foundation rate (1.3.5).</t>
        </r>
      </text>
    </comment>
    <comment ref="B23" authorId="0" shapeId="0">
      <text>
        <r>
          <rPr>
            <sz val="11"/>
            <color theme="1"/>
            <rFont val="Calibri"/>
            <family val="2"/>
            <scheme val="minor"/>
          </rPr>
          <t>Selects which base-rate row applies. Must equal 3.60 or 3.00 exactly — these are the only two bands in the source.</t>
        </r>
      </text>
    </comment>
    <comment ref="B24" authorId="0" shapeId="0">
      <text>
        <r>
          <rPr>
            <sz val="11"/>
            <color theme="1"/>
            <rFont val="Calibri"/>
            <family val="2"/>
            <scheme val="minor"/>
          </rPr>
          <t>Used for item 1.3.2: extra/deduct per 0.3 m vs the normal height selected above.</t>
        </r>
      </text>
    </comment>
    <comment ref="B25" authorId="0" shapeId="0">
      <text>
        <r>
          <rPr>
            <sz val="11"/>
            <color theme="1"/>
            <rFont val="Calibri"/>
            <family val="2"/>
            <scheme val="minor"/>
          </rPr>
          <t>E.g. G+5 = 6. Base rate covers upto six storeys; storeys beyond 6 attract item 1.3.1 (see Section C).</t>
        </r>
      </text>
    </comment>
    <comment ref="B26" authorId="0" shapeId="0">
      <text>
        <r>
          <rPr>
            <sz val="11"/>
            <color theme="1"/>
            <rFont val="Calibri"/>
            <family val="2"/>
            <scheme val="minor"/>
          </rPr>
          <t>Used wherever the source says "ground floor area only": items 1.3.3-1.3.8.</t>
        </r>
      </text>
    </comment>
    <comment ref="B27" authorId="0" shapeId="0">
      <text>
        <r>
          <rPr>
            <sz val="11"/>
            <color theme="1"/>
            <rFont val="Calibri"/>
            <family val="2"/>
            <scheme val="minor"/>
          </rPr>
          <t>Sum of every floor. Drives the base building-cost rate and is the default "applicable area" for several extras (overridable where shown).</t>
        </r>
      </text>
    </comment>
    <comment ref="B28" authorId="0" shapeId="0">
      <text>
        <r>
          <rPr>
            <sz val="11"/>
            <color theme="1"/>
            <rFont val="Calibri"/>
            <family val="2"/>
            <scheme val="minor"/>
          </rPr>
          <t>Used by Section 7 (external CCTV, street lighting) and by Section 6 detailed inputs.</t>
        </r>
      </text>
    </comment>
    <comment ref="B32" authorId="0" shapeId="0">
      <text>
        <r>
          <rPr>
            <sz val="11"/>
            <color theme="1"/>
            <rFont val="Calibri"/>
            <family val="2"/>
            <scheme val="minor"/>
          </rPr>
          <t>Matched from sheet "01 Building Cost" by exact match on structure type, floor height and building category. Shows "N/A" instead of a wrong zero if the source has no rate for this exact combination (e.g. Hostels/Quarters at 3.00 m).</t>
        </r>
      </text>
    </comment>
    <comment ref="A35" authorId="0" shapeId="0">
      <text>
        <r>
          <rPr>
            <sz val="11"/>
            <color theme="1"/>
            <rFont val="Calibri"/>
            <family val="2"/>
            <scheme val="minor"/>
          </rPr>
          <t>Base rate covers upto 6 storeys. Storeys 7-12 attract +1x the 1.3.1 rate on their combined area, 13-18 attract +2x, and so on. Default area per band assumes uniform floor plates; override column D if not uniform.</t>
        </r>
      </text>
    </comment>
    <comment ref="B52" authorId="0" shapeId="0">
      <text>
        <r>
          <rPr>
            <sz val="11"/>
            <color theme="1"/>
            <rFont val="Calibri"/>
            <family val="2"/>
            <scheme val="minor"/>
          </rPr>
          <t>Uses actual vs normal height entered in Section A. Applicable area defaults to total plinth area — override column D (input 2) if only some floors differ.</t>
        </r>
      </text>
    </comment>
    <comment ref="B53" authorId="0" shapeId="0">
      <text>
        <r>
          <rPr>
            <sz val="11"/>
            <color theme="1"/>
            <rFont val="Calibri"/>
            <family val="2"/>
            <scheme val="minor"/>
          </rPr>
          <t>Normal plinth height = 0.60 m. Ground-floor area only, per source.</t>
        </r>
      </text>
    </comment>
    <comment ref="B54" authorId="0" shapeId="0">
      <text>
        <r>
          <rPr>
            <sz val="11"/>
            <color theme="1"/>
            <rFont val="Calibri"/>
            <family val="2"/>
            <scheme val="minor"/>
          </rPr>
          <t>Normal foundation depth = 1.20 m. Ground-floor area only, per source.</t>
        </r>
      </text>
    </comment>
    <comment ref="B55" authorId="0" shapeId="0">
      <text>
        <r>
          <rPr>
            <sz val="11"/>
            <color theme="1"/>
            <rFont val="Calibri"/>
            <family val="2"/>
            <scheme val="minor"/>
          </rPr>
          <t>Rate depends on structure type selected in Section A (RCC Framed vs Composite).</t>
        </r>
      </text>
    </comment>
    <comment ref="B58" authorId="0" shapeId="0">
      <text>
        <r>
          <rPr>
            <sz val="11"/>
            <color theme="1"/>
            <rFont val="Calibri"/>
            <family val="2"/>
            <scheme val="minor"/>
          </rPr>
          <t>Only applies if 1.3.7 = Yes. Every 1.0 m deeper than 15 m, rounded up.</t>
        </r>
      </text>
    </comment>
    <comment ref="B59" authorId="0" shapeId="0">
      <text>
        <r>
          <rPr>
            <sz val="11"/>
            <color theme="1"/>
            <rFont val="Calibri"/>
            <family val="2"/>
            <scheme val="minor"/>
          </rPr>
          <t>Area with heavy load defaults to total plinth area — override column D if only part of the building qualifies.</t>
        </r>
      </text>
    </comment>
    <comment ref="B62" authorId="0" shapeId="0">
      <text>
        <r>
          <rPr>
            <sz val="11"/>
            <color theme="1"/>
            <rFont val="Calibri"/>
            <family val="2"/>
            <scheme val="minor"/>
          </rPr>
          <t>Only applies if 1.4.1 = Yes.</t>
        </r>
      </text>
    </comment>
    <comment ref="B63" authorId="0" shapeId="0">
      <text>
        <r>
          <rPr>
            <sz val="11"/>
            <color theme="1"/>
            <rFont val="Calibri"/>
            <family val="2"/>
            <scheme val="minor"/>
          </rPr>
          <t>Only relevant if 1.4.1 = Yes. Area defaults to basement area — override column D if only part needs ventilation.</t>
        </r>
      </text>
    </comment>
    <comment ref="B66" authorId="0" shapeId="0">
      <text>
        <r>
          <rPr>
            <sz val="11"/>
            <color theme="1"/>
            <rFont val="Calibri"/>
            <family val="2"/>
            <scheme val="minor"/>
          </rPr>
          <t>Only applies if 1.8.1 = Yes. Source gives no deduction for stilt height below 3.60 m, only extra above.</t>
        </r>
      </text>
    </comment>
    <comment ref="B67" authorId="0" shapeId="0">
      <text>
        <r>
          <rPr>
            <sz val="11"/>
            <color theme="1"/>
            <rFont val="Calibri"/>
            <family val="2"/>
            <scheme val="minor"/>
          </rPr>
          <t>Applies on total plinth area ("All applicable" per source).</t>
        </r>
      </text>
    </comment>
    <comment ref="B68" authorId="0" shapeId="0">
      <text>
        <r>
          <rPr>
            <sz val="11"/>
            <color theme="1"/>
            <rFont val="Calibri"/>
            <family val="2"/>
            <scheme val="minor"/>
          </rPr>
          <t>Applies on total plinth area ("All applicable" per source).</t>
        </r>
      </text>
    </comment>
    <comment ref="B75" authorId="0" shapeId="0">
      <text>
        <r>
          <rPr>
            <sz val="11"/>
            <color theme="1"/>
            <rFont val="Calibri"/>
            <family val="2"/>
            <scheme val="minor"/>
          </rPr>
          <t>% varies by the 6-way building category selected in Section A.</t>
        </r>
      </text>
    </comment>
    <comment ref="B81" authorId="0" shapeId="0">
      <text>
        <r>
          <rPr>
            <sz val="11"/>
            <color theme="1"/>
            <rFont val="Calibri"/>
            <family val="2"/>
            <scheme val="minor"/>
          </rPr>
          <t>No source rate for "Quarters" — shows N/A rather than a wrong zero.</t>
        </r>
      </text>
    </comment>
    <comment ref="B82" authorId="0" shapeId="0">
      <text>
        <r>
          <rPr>
            <sz val="11"/>
            <color theme="1"/>
            <rFont val="Calibri"/>
            <family val="2"/>
            <scheme val="minor"/>
          </rPr>
          <t>No source rate for "Quarters" — shows N/A rather than a wrong zero.</t>
        </r>
      </text>
    </comment>
    <comment ref="A92" authorId="0" shapeId="0">
      <text>
        <r>
          <rPr>
            <sz val="11"/>
            <color theme="1"/>
            <rFont val="Calibri"/>
            <family val="2"/>
            <scheme val="minor"/>
          </rPr>
          <t>Pick a lift spec (sheet 04). Its travel height (e.g. "G+4") sets the baseline floors already priced in; floors served beyond that baseline bill at the "extra per floor" rate — both pulled from sheet 04.</t>
        </r>
      </text>
    </comment>
    <comment ref="A108" authorId="0" shapeId="0">
      <text>
        <r>
          <rPr>
            <sz val="11"/>
            <color theme="1"/>
            <rFont val="Calibri"/>
            <family val="2"/>
            <scheme val="minor"/>
          </rPr>
          <t>Per Note 4: use Detailed measurement when 6.1-6.7 quantities are known. If not, use the Flat-% fallback (a % of Section-1 Building Cost only — sheet 02 defines the plain term "building cost" as Section 1.0; the combined 1.0+2.0 figure is always separately labelled in the source).</t>
        </r>
      </text>
    </comment>
    <comment ref="B110" authorId="0" shapeId="0">
      <text>
        <r>
          <rPr>
            <sz val="11"/>
            <color theme="1"/>
            <rFont val="Calibri"/>
            <family val="2"/>
            <scheme val="minor"/>
          </rPr>
          <t>Compact 4.5% | Semi compact/scattered 6.0% | Large 7.5% — of Section-1 Building Cost. See sheet '08 Notes', Note 4 for the full site-category definitions.</t>
        </r>
      </text>
    </comment>
    <comment ref="B135" authorId="0" shapeId="0">
      <text>
        <r>
          <rPr>
            <sz val="11"/>
            <color theme="1"/>
            <rFont val="Calibri"/>
            <family val="2"/>
            <scheme val="minor"/>
          </rPr>
          <t>Same kVA as 7.3.1 by default (editable).</t>
        </r>
      </text>
    </comment>
    <comment ref="B137" authorId="0" shapeId="0">
      <text>
        <r>
          <rPr>
            <sz val="11"/>
            <color theme="1"/>
            <rFont val="Calibri"/>
            <family val="2"/>
            <scheme val="minor"/>
          </rPr>
          <t>Cost = blocks × the kVA entered for 7.4.1.</t>
        </r>
      </text>
    </comment>
    <comment ref="B140" authorId="0" shapeId="0">
      <text>
        <r>
          <rPr>
            <sz val="11"/>
            <color theme="1"/>
            <rFont val="Calibri"/>
            <family val="2"/>
            <scheme val="minor"/>
          </rPr>
          <t>Same TR as 7.5.1 by default (editable).</t>
        </r>
      </text>
    </comment>
    <comment ref="B145" authorId="0" shapeId="0">
      <text>
        <r>
          <rPr>
            <sz val="11"/>
            <color theme="1"/>
            <rFont val="Calibri"/>
            <family val="2"/>
            <scheme val="minor"/>
          </rPr>
          <t>Rate is per 100 litre.</t>
        </r>
      </text>
    </comment>
    <comment ref="B147" authorId="0" shapeId="0">
      <text>
        <r>
          <rPr>
            <sz val="11"/>
            <color theme="1"/>
            <rFont val="Calibri"/>
            <family val="2"/>
            <scheme val="minor"/>
          </rPr>
          <t>Defaults to total plinth area.</t>
        </r>
      </text>
    </comment>
    <comment ref="B148" authorId="0" shapeId="0">
      <text>
        <r>
          <rPr>
            <sz val="11"/>
            <color theme="1"/>
            <rFont val="Calibri"/>
            <family val="2"/>
            <scheme val="minor"/>
          </rPr>
          <t>Defaults to plot area minus ground-floor plinth area.</t>
        </r>
      </text>
    </comment>
    <comment ref="B149" authorId="0" shapeId="0">
      <text>
        <r>
          <rPr>
            <sz val="11"/>
            <color theme="1"/>
            <rFont val="Calibri"/>
            <family val="2"/>
            <scheme val="minor"/>
          </rPr>
          <t>Enter the plinth area of the high-security zone only — not total plinth area.</t>
        </r>
      </text>
    </comment>
    <comment ref="B151" authorId="0" shapeId="0">
      <text>
        <r>
          <rPr>
            <sz val="11"/>
            <color theme="1"/>
            <rFont val="Calibri"/>
            <family val="2"/>
            <scheme val="minor"/>
          </rPr>
          <t>Only applies if total plinth area &gt; 10,000 sqm. Source states this extra rate too is "applicable on total plinth area" — literal reading applied (rate x TOTAL area, not just the excess), per your confirmation.</t>
        </r>
      </text>
    </comment>
    <comment ref="B154" authorId="0" shapeId="0">
      <text>
        <r>
          <rPr>
            <sz val="11"/>
            <color theme="1"/>
            <rFont val="Calibri"/>
            <family val="2"/>
            <scheme val="minor"/>
          </rPr>
          <t>Area to be specified by client — no default; enter directly.</t>
        </r>
      </text>
    </comment>
    <comment ref="B155" authorId="0" shapeId="0">
      <text>
        <r>
          <rPr>
            <sz val="11"/>
            <color theme="1"/>
            <rFont val="Calibri"/>
            <family val="2"/>
            <scheme val="minor"/>
          </rPr>
          <t>Used by 7.15, 7.16, 7.17 and 7.18 below — the source uses the same "plinth area excluding service/common areas" qualifier for all four.</t>
        </r>
      </text>
    </comment>
    <comment ref="B162" authorId="0" shapeId="0">
      <text>
        <r>
          <rPr>
            <sz val="11"/>
            <color theme="1"/>
            <rFont val="Calibri"/>
            <family val="2"/>
            <scheme val="minor"/>
          </rPr>
          <t>On total plot area. Source: applicable for plots &gt; 1 acre (4,046.86 sqm — standard unit conversion); for smaller plots work out the actual requirement separately (see the note below this row when triggered).</t>
        </r>
      </text>
    </comment>
    <comment ref="B173" authorId="0" shapeId="0">
      <text>
        <r>
          <rPr>
            <sz val="11"/>
            <color theme="1"/>
            <rFont val="Calibri"/>
            <family val="2"/>
            <scheme val="minor"/>
          </rPr>
          <t>Basis: 50 sqm per OT.</t>
        </r>
      </text>
    </comment>
    <comment ref="B174" authorId="0" shapeId="0">
      <text>
        <r>
          <rPr>
            <sz val="11"/>
            <color theme="1"/>
            <rFont val="Calibri"/>
            <family val="2"/>
            <scheme val="minor"/>
          </rPr>
          <t>Basis: 50 sqm per OT.</t>
        </r>
      </text>
    </comment>
    <comment ref="B176" authorId="0" shapeId="0">
      <text>
        <r>
          <rPr>
            <sz val="11"/>
            <color theme="1"/>
            <rFont val="Calibri"/>
            <family val="2"/>
            <scheme val="minor"/>
          </rPr>
          <t>Rate basis: minimum 250 cars.</t>
        </r>
      </text>
    </comment>
  </commentList>
</comments>
</file>

<file path=xl/sharedStrings.xml><?xml version="1.0" encoding="utf-8"?>
<sst xmlns="http://schemas.openxmlformats.org/spreadsheetml/2006/main" count="1520" uniqueCount="752">
  <si>
    <t>CPWD Plinth Area Rate Estimator — 2025</t>
  </si>
  <si>
    <t>How this workbook is organised</t>
  </si>
  <si>
    <t>• "Estimator" is the only sheet you need to touch — fill the blue-boxed cells, watch the Results Summary at the top update live.
• Sheets "01" to "07" hold the CPWD source rate tables — every formula reads from them; nothing is retyped.
• Sheet "08 Notes" holds the source applicability notes referenced throughout; "09 Cost Index" and "10 Source Check" are reference-only.
• Optional sections on the Estimator sheet are collapsible — click the [+] / [-] buttons in the row-number gutter on the left.
• Hover over any 💬 marker for the exact source condition or edge-case that applies to that item.</t>
  </si>
  <si>
    <t>Colour key</t>
  </si>
  <si>
    <t>Your input</t>
  </si>
  <si>
    <t>Type or select here. Blue box = editable.</t>
  </si>
  <si>
    <t>Calculated (this sheet)</t>
  </si>
  <si>
    <t>A formula computed from your inputs on this sheet.</t>
  </si>
  <si>
    <t>Reference (from source sheets)</t>
  </si>
  <si>
    <t>Purple italic = a rate/label pulled live from sheets 01-07. Shown so you can verify against the source; never edit.</t>
  </si>
  <si>
    <t>Section / subtotal result</t>
  </si>
  <si>
    <t>A subtotal — still a formula, highlighted because it is a checkpoint figure.</t>
  </si>
  <si>
    <t>Grand Total</t>
  </si>
  <si>
    <t>The final estimated project cost.</t>
  </si>
  <si>
    <t>💬 comment marker</t>
  </si>
  <si>
    <t>Hover for the exact CPWD source wording / condition / edge case for that row.</t>
  </si>
  <si>
    <t>Section index (click to jump)</t>
  </si>
  <si>
    <t>Results Summary</t>
  </si>
  <si>
    <t>A. Building basics</t>
  </si>
  <si>
    <t>B/C. Base rate &amp; storey-band extra</t>
  </si>
  <si>
    <t>D. Foundation / basement / stilt / fire extras</t>
  </si>
  <si>
    <t>E. Services</t>
  </si>
  <si>
    <t>F. TPQA &amp; Consultancy</t>
  </si>
  <si>
    <t>G. Lifts</t>
  </si>
  <si>
    <t>H. Water Tank</t>
  </si>
  <si>
    <t>I. Development of Site</t>
  </si>
  <si>
    <t>J. Specialized E&amp;M</t>
  </si>
  <si>
    <t>helper: cat1 (sheet01 4-way)</t>
  </si>
  <si>
    <t>Fill the blue-boxed cells. See the "Legend" sheet for the colour key, symbols and section index.</t>
  </si>
  <si>
    <t>helper: struct1 label</t>
  </si>
  <si>
    <t>RESULTS SUMMARY</t>
  </si>
  <si>
    <t>GRAND TOTAL — Estimated Project Cost (₹)</t>
  </si>
  <si>
    <t>helper: height1 text</t>
  </si>
  <si>
    <t>in ₹ crore</t>
  </si>
  <si>
    <t>helper: cat2 (sheet02 lightning/telephone bare form)</t>
  </si>
  <si>
    <t>SECTION-WISE BREAKDOWN</t>
  </si>
  <si>
    <t>1. Building Cost</t>
  </si>
  <si>
    <t>2. Services</t>
  </si>
  <si>
    <t>3. TPQA &amp; Consultancy</t>
  </si>
  <si>
    <t>4. Lifts</t>
  </si>
  <si>
    <t>5. Water Tank</t>
  </si>
  <si>
    <t>6. Development of Site</t>
  </si>
  <si>
    <t>7. Specialized E&amp;M</t>
  </si>
  <si>
    <t>Subtotal (Sections 1-7)</t>
  </si>
  <si>
    <t>Local Cess/Levy, if any (Note 1)</t>
  </si>
  <si>
    <t>A. PROJECT &amp; BUILDING BASICS</t>
  </si>
  <si>
    <t>Item</t>
  </si>
  <si>
    <t>Unit</t>
  </si>
  <si>
    <t>Building category</t>
  </si>
  <si>
    <t>Offices/Colleges</t>
  </si>
  <si>
    <t>Structure type</t>
  </si>
  <si>
    <t>RCC Framed</t>
  </si>
  <si>
    <t>Normal floor height selected</t>
  </si>
  <si>
    <t>metre</t>
  </si>
  <si>
    <t>Actual average floor height (typical floors)</t>
  </si>
  <si>
    <t>Number of storeys (incl. ground floor)</t>
  </si>
  <si>
    <t>Ground floor plinth area</t>
  </si>
  <si>
    <t>sqm</t>
  </si>
  <si>
    <t>Total plinth area, all floors</t>
  </si>
  <si>
    <t>Plot area</t>
  </si>
  <si>
    <t>B. SECTION 1 — BASE BUILDING-COST RATE</t>
  </si>
  <si>
    <t>Input</t>
  </si>
  <si>
    <t>Rate/Area</t>
  </si>
  <si>
    <t>Reference rate</t>
  </si>
  <si>
    <t>Cost (₹)</t>
  </si>
  <si>
    <t>Base rate (items 1.1 / 1.2)</t>
  </si>
  <si>
    <t>₹/sqm</t>
  </si>
  <si>
    <t>Base building cost (= base rate × total plinth area)</t>
  </si>
  <si>
    <t>C. SECTION 1 — ITEM 1.3.1: EXTRA FOR STOREYS BEYOND SIX</t>
  </si>
  <si>
    <t>Band</t>
  </si>
  <si>
    <t>Storey range</t>
  </si>
  <si>
    <t>Storeys here</t>
  </si>
  <si>
    <t>Area (sqm)</t>
  </si>
  <si>
    <t>Band rate</t>
  </si>
  <si>
    <t>B1</t>
  </si>
  <si>
    <t>B2</t>
  </si>
  <si>
    <t>B3</t>
  </si>
  <si>
    <t>B4</t>
  </si>
  <si>
    <t>B5</t>
  </si>
  <si>
    <t>B6</t>
  </si>
  <si>
    <t>B7</t>
  </si>
  <si>
    <t>B8</t>
  </si>
  <si>
    <t>B9</t>
  </si>
  <si>
    <t>B10</t>
  </si>
  <si>
    <t>Total — item 1.3.1 (storey-band extra)</t>
  </si>
  <si>
    <t>D. SECTION 1 — FOUNDATION / HEIGHT / BASEMENT / STILT / FIRE EXTRAS</t>
  </si>
  <si>
    <t>Ref</t>
  </si>
  <si>
    <t>Input 1</t>
  </si>
  <si>
    <t>Input 2 (area)</t>
  </si>
  <si>
    <t>Foundation &amp; structural extras (optional)</t>
  </si>
  <si>
    <t>1.3.2</t>
  </si>
  <si>
    <t>Extra/deduct — floor height ≠ normal</t>
  </si>
  <si>
    <t>1.3.3</t>
  </si>
  <si>
    <t>Extra — higher plinth height (GF area)</t>
  </si>
  <si>
    <t>actual ht, m</t>
  </si>
  <si>
    <t>1.3.4</t>
  </si>
  <si>
    <t>Extra — deeper foundation (GF area)</t>
  </si>
  <si>
    <t>actual depth, m</t>
  </si>
  <si>
    <t>1.3.5</t>
  </si>
  <si>
    <t>Stronger foundation for future floor (GF area)</t>
  </si>
  <si>
    <t>No</t>
  </si>
  <si>
    <t>1.3.6</t>
  </si>
  <si>
    <t>RCC raft foundation (GF area)</t>
  </si>
  <si>
    <t>1.3.7</t>
  </si>
  <si>
    <t>Pile foundation upto 15 m (GF area)</t>
  </si>
  <si>
    <t>1.3.8</t>
  </si>
  <si>
    <t>Extra — pile deeper than 15 m</t>
  </si>
  <si>
    <t>1.3.9</t>
  </si>
  <si>
    <t>Stronger members — heavy load 500-1000 kg/sqm</t>
  </si>
  <si>
    <t>Basement (optional)</t>
  </si>
  <si>
    <t>1.4.1</t>
  </si>
  <si>
    <t>Basement floor (height upto 3.35 m, excl. raft base)</t>
  </si>
  <si>
    <t>area, sqm</t>
  </si>
  <si>
    <t>1.4.2</t>
  </si>
  <si>
    <t>Extra/deduct — basement height ≠ 3.35 m normal</t>
  </si>
  <si>
    <t>1.7</t>
  </si>
  <si>
    <t>Pressurized mechanical ventilation in basement</t>
  </si>
  <si>
    <t>Stilt (optional)</t>
  </si>
  <si>
    <t>1.8.1</t>
  </si>
  <si>
    <t>Stilt portion, upto floor height 3.60 m</t>
  </si>
  <si>
    <t>1.8.2</t>
  </si>
  <si>
    <t>Extra — stilt height above 3.60 m</t>
  </si>
  <si>
    <t>1.5</t>
  </si>
  <si>
    <t>Fire fighting system</t>
  </si>
  <si>
    <t>None</t>
  </si>
  <si>
    <t>1.6</t>
  </si>
  <si>
    <t>Fire alarm system</t>
  </si>
  <si>
    <t>SECTION 1 TOTAL — BUILDING COST</t>
  </si>
  <si>
    <t>of which: Section-2 base (excl. items 1.3.4-1.3.9, 1.5, 1.6 per sheet-02 basis note)</t>
  </si>
  <si>
    <t>E. SECTION 2 — SERVICES (% of Section-2 base)</t>
  </si>
  <si>
    <t>Rate %</t>
  </si>
  <si>
    <t>2.1</t>
  </si>
  <si>
    <t>Internal water supply &amp; sanitary installations</t>
  </si>
  <si>
    <t>2.2.1</t>
  </si>
  <si>
    <t>Electrical external service connections</t>
  </si>
  <si>
    <t>2.2.2</t>
  </si>
  <si>
    <t>Civil external service connections</t>
  </si>
  <si>
    <t>2.2.3</t>
  </si>
  <si>
    <t>Local body approvals</t>
  </si>
  <si>
    <t>2.3</t>
  </si>
  <si>
    <t>Internal electric installations</t>
  </si>
  <si>
    <t>2.4.1</t>
  </si>
  <si>
    <t>Power wiring and plugs</t>
  </si>
  <si>
    <t>2.4.2</t>
  </si>
  <si>
    <t>Lightning conductors</t>
  </si>
  <si>
    <t>2.4.3</t>
  </si>
  <si>
    <t>Telephone conduits</t>
  </si>
  <si>
    <t>SECTION 2 TOTAL — SERVICES</t>
  </si>
  <si>
    <t>Building Cost (Section 1 + Section 2) — feeds Section 3</t>
  </si>
  <si>
    <t>F. SECTION 3 — TPQA &amp; CONSULTANCY (% of Building Cost 1.0+2.0; only if desired by client)</t>
  </si>
  <si>
    <t>Include?</t>
  </si>
  <si>
    <t>3.1</t>
  </si>
  <si>
    <t>Third Party Quality Assurance (TPQA)</t>
  </si>
  <si>
    <t>3.2</t>
  </si>
  <si>
    <t>Consultancy Services (Arch/Structural/MEP), if outsourced</t>
  </si>
  <si>
    <t>SECTION 3 TOTAL — TPQA &amp; CONSULTANCY</t>
  </si>
  <si>
    <t>G. SECTION 4 — LIFTS</t>
  </si>
  <si>
    <t>Lift spec</t>
  </si>
  <si>
    <t>Qty</t>
  </si>
  <si>
    <t>Floors served</t>
  </si>
  <si>
    <t>Baseline (auto)</t>
  </si>
  <si>
    <t>Extra floors</t>
  </si>
  <si>
    <t>Unit price</t>
  </si>
  <si>
    <t>Line cost</t>
  </si>
  <si>
    <t>SECTION 4 TOTAL — LIFTS</t>
  </si>
  <si>
    <t>H. SECTION 5 — RCC WATER TANK</t>
  </si>
  <si>
    <t>Type / Include?</t>
  </si>
  <si>
    <t>Capacity (litre)</t>
  </si>
  <si>
    <t>Rate ₹/litre</t>
  </si>
  <si>
    <t>5.1-5.4</t>
  </si>
  <si>
    <t>Overhead tank (OHT)</t>
  </si>
  <si>
    <t>5.5</t>
  </si>
  <si>
    <t>Underground sump</t>
  </si>
  <si>
    <t>SECTION 5 TOTAL — WATER TANK</t>
  </si>
  <si>
    <t>I. SECTION 6 — DEVELOPMENT OF SITE</t>
  </si>
  <si>
    <t>Costing method</t>
  </si>
  <si>
    <t>Flat % (site category)</t>
  </si>
  <si>
    <t>If Flat %: site category</t>
  </si>
  <si>
    <t>Compact</t>
  </si>
  <si>
    <t>Flat-% cost</t>
  </si>
  <si>
    <t>If Detailed: measured quantities (only used when method = Detailed measurement)</t>
  </si>
  <si>
    <t>Rate</t>
  </si>
  <si>
    <t>6.1</t>
  </si>
  <si>
    <t>Levelling</t>
  </si>
  <si>
    <t>6.2</t>
  </si>
  <si>
    <t>Road / pavement / footpath</t>
  </si>
  <si>
    <t>Internal road WBM+bituminous</t>
  </si>
  <si>
    <t>6.3</t>
  </si>
  <si>
    <t>External sewerage</t>
  </si>
  <si>
    <t>6.4</t>
  </si>
  <si>
    <t>Water supply distribution</t>
  </si>
  <si>
    <t>Filtered - distribution upto 100mm</t>
  </si>
  <si>
    <t>6.5</t>
  </si>
  <si>
    <t>Storm water drains</t>
  </si>
  <si>
    <t>6.6</t>
  </si>
  <si>
    <t>Rain water harvesting (excl. tank)</t>
  </si>
  <si>
    <t>6.7</t>
  </si>
  <si>
    <t>Trenches for services</t>
  </si>
  <si>
    <t>6.8</t>
  </si>
  <si>
    <t>Boundary wall</t>
  </si>
  <si>
    <t>Brickwork+RCC columns</t>
  </si>
  <si>
    <t>6.9.1</t>
  </si>
  <si>
    <t>Horticulture (earth/grassing/planting)</t>
  </si>
  <si>
    <t>6.9.2</t>
  </si>
  <si>
    <t>Vertical plantations (excl. framework)</t>
  </si>
  <si>
    <t>Detailed-method subtotal</t>
  </si>
  <si>
    <t>SECTION 6 TOTAL — DEVELOPMENT OF SITE</t>
  </si>
  <si>
    <t>Excludes (Note 5a/5b): tube wells/pumps/source-side works; sewage pumps/STP/septic tanks/outfall sewer beyond plot — see Section 7 (7.20) or a separate estimate.</t>
  </si>
  <si>
    <t>J. SECTION 7 — SPECIALIZED E&amp;M (optional; per Note 6, provide only if required)</t>
  </si>
  <si>
    <t>Qty / Area</t>
  </si>
  <si>
    <t>Electrical infrastructure</t>
  </si>
  <si>
    <t>7.1.1</t>
  </si>
  <si>
    <t>33 kV receiving substation + HT cabling</t>
  </si>
  <si>
    <t>kVA</t>
  </si>
  <si>
    <t>7.2.1</t>
  </si>
  <si>
    <t>33kV/0.433kV substation equipment</t>
  </si>
  <si>
    <t>7.2.2</t>
  </si>
  <si>
    <t>11kV/0.433kV substation equipment</t>
  </si>
  <si>
    <t>7.3.1</t>
  </si>
  <si>
    <t>Silent DG set + AMF panel etc.</t>
  </si>
  <si>
    <t>7.3.2</t>
  </si>
  <si>
    <t>Extra — synchronizing panel</t>
  </si>
  <si>
    <t>7.4.1</t>
  </si>
  <si>
    <t>Online UPS, 30 min backup</t>
  </si>
  <si>
    <t>7.4.2</t>
  </si>
  <si>
    <t>Extra — additional 30-min backup blocks</t>
  </si>
  <si>
    <t>blocks</t>
  </si>
  <si>
    <t>HVAC</t>
  </si>
  <si>
    <t>7.5.1</t>
  </si>
  <si>
    <t>Energy-efficient central AC plant</t>
  </si>
  <si>
    <t>TR</t>
  </si>
  <si>
    <t>7.5.2</t>
  </si>
  <si>
    <t>Extra — standby chilling units</t>
  </si>
  <si>
    <t>7.6.1</t>
  </si>
  <si>
    <t>VRV/VRF system, complete</t>
  </si>
  <si>
    <t>HP</t>
  </si>
  <si>
    <t>7.7.1</t>
  </si>
  <si>
    <t>Precision air conditioning system</t>
  </si>
  <si>
    <t>Solar &amp; renewables</t>
  </si>
  <si>
    <t>7.8.1</t>
  </si>
  <si>
    <t>Grid-interactive rooftop solar PV</t>
  </si>
  <si>
    <t>kWp</t>
  </si>
  <si>
    <t>7.9.1</t>
  </si>
  <si>
    <t>Solar water heating system (excl. piping)</t>
  </si>
  <si>
    <t>litre</t>
  </si>
  <si>
    <t>Security &amp; surveillance</t>
  </si>
  <si>
    <t>7.10.1</t>
  </si>
  <si>
    <t>CCTV indoors</t>
  </si>
  <si>
    <t>7.10.2</t>
  </si>
  <si>
    <t>External surveillance</t>
  </si>
  <si>
    <t>7.11.1</t>
  </si>
  <si>
    <t>Access control (high-security zone only)</t>
  </si>
  <si>
    <t>7.12.1</t>
  </si>
  <si>
    <t>IBMS, upto 10,000 sqm</t>
  </si>
  <si>
    <t>7.12.2</t>
  </si>
  <si>
    <t>IBMS extra, above 10,000 sqm</t>
  </si>
  <si>
    <t>7.13.1</t>
  </si>
  <si>
    <t>Hydropneumatic water supply system</t>
  </si>
  <si>
    <t>LPM</t>
  </si>
  <si>
    <t>Automation &amp; communications</t>
  </si>
  <si>
    <t>7.14.1</t>
  </si>
  <si>
    <t>Lighting automation</t>
  </si>
  <si>
    <t>Net habitable plinth area (shared input, excl. service/common areas)</t>
  </si>
  <si>
    <t>7.15.2</t>
  </si>
  <si>
    <t>Basic home security — Intercom</t>
  </si>
  <si>
    <t>7.16.3</t>
  </si>
  <si>
    <t>Basic home security — CCTV</t>
  </si>
  <si>
    <t>7.17.1</t>
  </si>
  <si>
    <t>LAN system</t>
  </si>
  <si>
    <t>7.18.1</t>
  </si>
  <si>
    <t>IP-based EPABX system</t>
  </si>
  <si>
    <t>7.19</t>
  </si>
  <si>
    <t>Conference hall AV (carpet area of hall only)</t>
  </si>
  <si>
    <t>Site infrastructure</t>
  </si>
  <si>
    <t>7.19.1</t>
  </si>
  <si>
    <t>LED street/compound/mast/pathway lighting (campus-wide)</t>
  </si>
  <si>
    <t>STP/ETP plant capacity (tiered: 0-50 / 50-100 / above 100 KLD)</t>
  </si>
  <si>
    <t>KLD</t>
  </si>
  <si>
    <t>7.20.1</t>
  </si>
  <si>
    <t xml:space="preserve">  first 50 KLD</t>
  </si>
  <si>
    <t>7.20.2</t>
  </si>
  <si>
    <t xml:space="preserve">  next 50-100 KLD</t>
  </si>
  <si>
    <t>7.20.3</t>
  </si>
  <si>
    <t xml:space="preserve">  above 100 KLD</t>
  </si>
  <si>
    <t>Screening, medical, access &amp; signage</t>
  </si>
  <si>
    <t>7.21.1</t>
  </si>
  <si>
    <t>ANPR system</t>
  </si>
  <si>
    <t>set</t>
  </si>
  <si>
    <t>7.22.1</t>
  </si>
  <si>
    <t>Small baggage scanner</t>
  </si>
  <si>
    <t>unit</t>
  </si>
  <si>
    <t>7.22.2</t>
  </si>
  <si>
    <t>Big baggage scanner</t>
  </si>
  <si>
    <t>7.23.1</t>
  </si>
  <si>
    <t>Door frame metal detector (20-zone+)</t>
  </si>
  <si>
    <t>7.24.2</t>
  </si>
  <si>
    <t>Modular OT — stainless steel</t>
  </si>
  <si>
    <t>OT</t>
  </si>
  <si>
    <t>7.24.3</t>
  </si>
  <si>
    <t>Modular OT — SMS technology</t>
  </si>
  <si>
    <t>7.25.1</t>
  </si>
  <si>
    <t>Electromechanical boom barrier, upto 6 m</t>
  </si>
  <si>
    <t>each</t>
  </si>
  <si>
    <t>7.26.1</t>
  </si>
  <si>
    <t>Sensor-based car parking system</t>
  </si>
  <si>
    <t>car</t>
  </si>
  <si>
    <t>7.27.1</t>
  </si>
  <si>
    <t>Illuminated signages</t>
  </si>
  <si>
    <t>7.28</t>
  </si>
  <si>
    <t>Motorized steel gates, upto 6 m width</t>
  </si>
  <si>
    <t>gate</t>
  </si>
  <si>
    <t>SECTION 7 TOTAL — SPECIALIZED E&amp;M</t>
  </si>
  <si>
    <t>K. GRAND TOTAL (confirmation copy — see Results Summary at the top of this sheet)</t>
  </si>
  <si>
    <t>Section 1 — Building Cost</t>
  </si>
  <si>
    <t>Section 2 — Services</t>
  </si>
  <si>
    <t>Section 3 — TPQA &amp; Consultancy</t>
  </si>
  <si>
    <t>Section 4 — Lifts</t>
  </si>
  <si>
    <t>Section 5 — Water Tank</t>
  </si>
  <si>
    <t>Section 6 — Development of Site</t>
  </si>
  <si>
    <t>Section 7 — Specialized E&amp;M</t>
  </si>
  <si>
    <t>Additional local Cess/Levy, if any (Note 1: rates already include CP&amp;OH, GST and Labour Welfare Cess; any OTHER local cess/levy is not in the source and must be entered here)</t>
  </si>
  <si>
    <t>% of subtotal</t>
  </si>
  <si>
    <t>GRAND TOTAL — ESTIMATED PROJECT COST (₹)</t>
  </si>
  <si>
    <t>Excludes: land cost; loose furniture unless specified above; works excluded under Notes 5a/5b; any Section-7 item not set to "Yes"; general facade lighting (assessed case-by-case per source).</t>
  </si>
  <si>
    <t>01 — Building Cost</t>
  </si>
  <si>
    <t>Source section 1.0; specifications as per Annexure-I.</t>
  </si>
  <si>
    <t>Item No.</t>
  </si>
  <si>
    <t>Category</t>
  </si>
  <si>
    <t>Description / condition</t>
  </si>
  <si>
    <t>Building type / applicability</t>
  </si>
  <si>
    <t>Rate unit</t>
  </si>
  <si>
    <t>1.1.1</t>
  </si>
  <si>
    <t>RCC FRAMED STRUCTURE (Upto six storeys)</t>
  </si>
  <si>
    <t>Floor height 3.60 metre</t>
  </si>
  <si>
    <t>Hospitals</t>
  </si>
  <si>
    <t>Schools</t>
  </si>
  <si>
    <t>Hostels/Quarters</t>
  </si>
  <si>
    <t>1.1.2</t>
  </si>
  <si>
    <t>Floor height 3.00 metre</t>
  </si>
  <si>
    <t>1.2.1</t>
  </si>
  <si>
    <t>COMPOSITE (PARTIALLY LOAD BEARING AND PARTIALLY RCC FRAMED) STRUCTURE (Upto six storeys)</t>
  </si>
  <si>
    <t>1.2.2</t>
  </si>
  <si>
    <t>1.3.1</t>
  </si>
  <si>
    <t>EXTRA FOR</t>
  </si>
  <si>
    <t>Set of six additional storey (7th to 12th storey)</t>
  </si>
  <si>
    <t>All applicable</t>
  </si>
  <si>
    <t>Every 0.3 metre or part thereof, additional / less height of floor above normal floor height of 3.60 metre / 3.00 metre</t>
  </si>
  <si>
    <t>Applicable area</t>
  </si>
  <si>
    <t>Every 0.3 metre or part thereof, higher plinth height over normal plinth height of 0.60 metre (ground floor area only)</t>
  </si>
  <si>
    <t>Every 0.30 metre or part thereof, deeper foundations over normal depth of 1.20 metre (ground floor area only)</t>
  </si>
  <si>
    <t>Making stronger foundations to take load of one additional floor at a later date (ground floor area only)</t>
  </si>
  <si>
    <t>RCC framed structures</t>
  </si>
  <si>
    <t>Composite structure</t>
  </si>
  <si>
    <t>RCC raft foundation</t>
  </si>
  <si>
    <t>Ground floor area only</t>
  </si>
  <si>
    <t>Pile foundation upto a depth of 15 metre</t>
  </si>
  <si>
    <t>Every 1.0 m deeper pile foundation over normal depth of 15 metre</t>
  </si>
  <si>
    <t>Stronger structural members to take heavy load above 500 kg per sqm upto 1000 kg per sqm</t>
  </si>
  <si>
    <t>BASEMENT FLOOR</t>
  </si>
  <si>
    <t>Floor height upto 3.35 metre including water proofing (excluding raft base)</t>
  </si>
  <si>
    <t>Add or deduct for every 0.30 metre, or part thereof, height against normal height of 3.35 metre</t>
  </si>
  <si>
    <t>1.5.1</t>
  </si>
  <si>
    <t>FIRE FIGHTING</t>
  </si>
  <si>
    <t>Downcomer System</t>
  </si>
  <si>
    <t>1.5.2</t>
  </si>
  <si>
    <t>With wet riser system</t>
  </si>
  <si>
    <t>1.5.3</t>
  </si>
  <si>
    <t>With wet riser and sprinkler system</t>
  </si>
  <si>
    <t>1.6.1</t>
  </si>
  <si>
    <t>FIRE ALARM SYSTEM</t>
  </si>
  <si>
    <t>Manual fire alarm system</t>
  </si>
  <si>
    <t>1.6.2</t>
  </si>
  <si>
    <t>Automatic fire alarm system</t>
  </si>
  <si>
    <t>Pressurized mechanical ventilation system in the basements</t>
  </si>
  <si>
    <t>With supply duct of exhaust blowers; on areas where mechanical ventilation is required</t>
  </si>
  <si>
    <t>STILT PORTION</t>
  </si>
  <si>
    <t>Stilt portion of multi-storey buildings upto floor height of 3.60 metre (on stilt area only)</t>
  </si>
  <si>
    <t>Every 0.30 metre additional height above 3.60 metre</t>
  </si>
  <si>
    <t>Applicable stilt area</t>
  </si>
  <si>
    <t>Note:</t>
  </si>
  <si>
    <t>1.3.1 Extra for additional storeys</t>
  </si>
  <si>
    <t>An additional rate of ₹123/sqm shall apply to each set of six additional storeys, as follows:</t>
  </si>
  <si>
    <t>7th to 12th storey: ₹123/sqm</t>
  </si>
  <si>
    <t>13th to 18th storey: ₹246/sqm</t>
  </si>
  <si>
    <t>19th to 24th storey: ₹369/sqm</t>
  </si>
  <si>
    <t>25th to 30th storey: ₹492/sqm</t>
  </si>
  <si>
    <t>And so on, with the rate increasing by ₹123/sqm for each successive set of six storeys.</t>
  </si>
  <si>
    <t>The applicable plinth area shall be the total plinth area of all storeys within the respective set of six storeys.</t>
  </si>
  <si>
    <t>If the final set contains fewer than six storeys, the same procedure shall apply.</t>
  </si>
  <si>
    <t>Example: For a 15-storey building:</t>
  </si>
  <si>
    <t>1. 7th–12th storeys: ₹123/sqm on the combined plinth area of the 7th to 12th storeys.</t>
  </si>
  <si>
    <t>2. 13th–15th storeys: ₹246/sqm on the combined plinth area of the 13th to 15th storeys.</t>
  </si>
  <si>
    <t>02 — Services</t>
  </si>
  <si>
    <t>Percentage rates; the source states the percentage is based on building cost as per 1.0, excluding specified subheads.</t>
  </si>
  <si>
    <t>Description</t>
  </si>
  <si>
    <t>Building type / condition</t>
  </si>
  <si>
    <t>Rate basis</t>
  </si>
  <si>
    <t>Rate (%)</t>
  </si>
  <si>
    <t>% of building cost</t>
  </si>
  <si>
    <t>Hostels — with attached toilets</t>
  </si>
  <si>
    <t>Hostels — with common toilets</t>
  </si>
  <si>
    <t>Quarters</t>
  </si>
  <si>
    <t>All building categories</t>
  </si>
  <si>
    <t>Local body approvals including tree cutting etc.</t>
  </si>
  <si>
    <t>Hostels</t>
  </si>
  <si>
    <t>Source basis note</t>
  </si>
  <si>
    <t>For section 2.0, the source states that percentages refer to the percentage of building cost as per 1.0 above, excluding subheads 1.3.4, 1.3.5, 1.3.6, 1.3.7, 1.3.8, 1.3.9, 1.5 and 1.6.</t>
  </si>
  <si>
    <t>03 — TPQA &amp; Consultancy Services</t>
  </si>
  <si>
    <t>Percentages refer to building cost (sum of section 1.0 and section 2.0).</t>
  </si>
  <si>
    <t>Applicability</t>
  </si>
  <si>
    <t>Third Party Quality Assurance</t>
  </si>
  <si>
    <t>% of building cost (1.0 + 2.0)</t>
  </si>
  <si>
    <t>Consultancy Services for Architectural, Structural and MEP Services, if outsourced</t>
  </si>
  <si>
    <t>04 — Lifts</t>
  </si>
  <si>
    <t>Power-operated centre-opening doors and AC variable voltage &amp; variable frequency controls.</t>
  </si>
  <si>
    <t>Lift type</t>
  </si>
  <si>
    <t>Capacity / persons</t>
  </si>
  <si>
    <t>Speed (m/sec)</t>
  </si>
  <si>
    <t>Travel height</t>
  </si>
  <si>
    <t>Price (₹ lakh)</t>
  </si>
  <si>
    <t>Extra per additional floor (₹)</t>
  </si>
  <si>
    <t>Baseline floors incl. ground (derived)</t>
  </si>
  <si>
    <t>Spec label (for dropdown)</t>
  </si>
  <si>
    <t>4.1.1</t>
  </si>
  <si>
    <t>Passenger</t>
  </si>
  <si>
    <t>8</t>
  </si>
  <si>
    <t>1.0</t>
  </si>
  <si>
    <t>G+4</t>
  </si>
  <si>
    <t>4.1.2</t>
  </si>
  <si>
    <t>G+5</t>
  </si>
  <si>
    <t>4.1.3</t>
  </si>
  <si>
    <t>13</t>
  </si>
  <si>
    <t>4.1.4</t>
  </si>
  <si>
    <t>4.1.5</t>
  </si>
  <si>
    <t>16</t>
  </si>
  <si>
    <t>4.1.6</t>
  </si>
  <si>
    <t>4.1.7</t>
  </si>
  <si>
    <t>2.5</t>
  </si>
  <si>
    <t>G+12</t>
  </si>
  <si>
    <t>4.2.1</t>
  </si>
  <si>
    <t>Bed</t>
  </si>
  <si>
    <t>20</t>
  </si>
  <si>
    <t>0.75</t>
  </si>
  <si>
    <t>4.2.2</t>
  </si>
  <si>
    <t>4.2.3</t>
  </si>
  <si>
    <t>4.3.1</t>
  </si>
  <si>
    <t>Goods (2 speed)</t>
  </si>
  <si>
    <t>1 Ton</t>
  </si>
  <si>
    <t>0.5</t>
  </si>
  <si>
    <t>4.3.2</t>
  </si>
  <si>
    <t>2 Ton</t>
  </si>
  <si>
    <t>4.3.3</t>
  </si>
  <si>
    <t>3 Ton</t>
  </si>
  <si>
    <t>0.25</t>
  </si>
  <si>
    <t>05 — RCC Water Tank</t>
  </si>
  <si>
    <t>Rates as stated in ₹ per litre.</t>
  </si>
  <si>
    <t>5.1</t>
  </si>
  <si>
    <t>Overhead tank without independent staging</t>
  </si>
  <si>
    <t>₹/litre</t>
  </si>
  <si>
    <t>5.2</t>
  </si>
  <si>
    <t>Overhead tank with staging height upto 20 metre</t>
  </si>
  <si>
    <t>5.3</t>
  </si>
  <si>
    <t>Overhead tank with staging height above 20 metre upto 30 metre</t>
  </si>
  <si>
    <t>5.4</t>
  </si>
  <si>
    <t>Overhead tank with staging height above 30 metre upto 40 metre</t>
  </si>
  <si>
    <t>06 — Development of Site</t>
  </si>
  <si>
    <t>Rates are presented using the source units and descriptions.</t>
  </si>
  <si>
    <t>6.2.1</t>
  </si>
  <si>
    <t>Internal road with WBM and bituminous top</t>
  </si>
  <si>
    <t>6.2.2</t>
  </si>
  <si>
    <t>Internal road with WMM and bituminous top</t>
  </si>
  <si>
    <t>6.2.3</t>
  </si>
  <si>
    <t>Cement concrete pavement with vacuum dewatered concrete</t>
  </si>
  <si>
    <t>6.2.4</t>
  </si>
  <si>
    <t>Footpath with PCC base, 60 mm thick paver blocks and kerb stone edging</t>
  </si>
  <si>
    <t>₹/metre</t>
  </si>
  <si>
    <t>6.4.1</t>
  </si>
  <si>
    <t>Filtered water supply — Distribution lines upto 100 mm dia</t>
  </si>
  <si>
    <t>6.4.2</t>
  </si>
  <si>
    <t>Filtered water supply — Peripheral grid 150 mm to 300 mm dia pipes</t>
  </si>
  <si>
    <t>6.4.3</t>
  </si>
  <si>
    <t>Unfiltered water supply distribution lines</t>
  </si>
  <si>
    <t>Rain water harvesting (RWH) — excluding collection tank</t>
  </si>
  <si>
    <t>6.8.1</t>
  </si>
  <si>
    <t>Boundary wall with brickwork structure, RCC columns 300×300 mm @ 3.00 m c/c, RCC plinth beam 300×300 mm, coping; 1500 mm wall + 600 mm MS grill; 2100 mm steel gates at every 100 m</t>
  </si>
  <si>
    <t>6.8.2</t>
  </si>
  <si>
    <t>Boundary wall with precast RCC M40 shaped 250×230 mm posts and 70 mm thick RCC wall panel inserts; same overall boundary-wall description</t>
  </si>
  <si>
    <t>Horticulture operations including 300 mm earth filling, grassing, tree plantations/shrubs and potted plants etc.</t>
  </si>
  <si>
    <t>Vertical plantations — excluding frame work; rate applicable on vertical gardening area</t>
  </si>
  <si>
    <t>07 — Specialized E&amp;M Works</t>
  </si>
  <si>
    <t>Items 7.1 to 7.28 from the source PDF; descriptions retained and organized into a single rate table.</t>
  </si>
  <si>
    <t>Description / applicability</t>
  </si>
  <si>
    <t>33 kV receiving substation and 33 kV/11 kV HT cabling — complete specified system</t>
  </si>
  <si>
    <t>₹/kVA</t>
  </si>
  <si>
    <t>33 KV/0.433 KV substation equipment — complete specified system</t>
  </si>
  <si>
    <t>11 KV/0.433 KV substation equipment — complete specified system</t>
  </si>
  <si>
    <t>Silent type DG sets, AMF panel, bus ducting/cables, synchronizing panel where required, enclosure works, earthing, fuel/exhaust systems and connected civil works</t>
  </si>
  <si>
    <t>Extra for synchronizing panels wherever required</t>
  </si>
  <si>
    <t>Online 3 phase UPS system with 30 minutes backup including batteries, cables, racks etc.</t>
  </si>
  <si>
    <t>Add for every additional 30 minutes backup</t>
  </si>
  <si>
    <t>Energy efficient central AC plant including low side works</t>
  </si>
  <si>
    <t>₹/TR</t>
  </si>
  <si>
    <t>Extra for stand-by chilling units high side</t>
  </si>
  <si>
    <t>VRV/VRF system including indoor/outdoor units, piping, electrical power distribution/wiring, electrical panel, treated fresh air system etc.</t>
  </si>
  <si>
    <t>₹/HP</t>
  </si>
  <si>
    <t>Precision air conditioning system including piping, electrical cabling, controller etc.</t>
  </si>
  <si>
    <t>Grid interactive roof top solar photovoltaic power generation system including space frame</t>
  </si>
  <si>
    <t>₹/kWp</t>
  </si>
  <si>
    <t>Solar water heating system with heat exchanger, electrical heater backup, make-up water tank; without piping</t>
  </si>
  <si>
    <t>₹/100 litre</t>
  </si>
  <si>
    <t>IP-based CCTV for building security, indoors only; rate applicable on total plinth area</t>
  </si>
  <si>
    <t>External surveillance; rate applicable on total plot area minus plinth area at ground floor</t>
  </si>
  <si>
    <t>Access control system; rate applicable only on plinth area of high-security area</t>
  </si>
  <si>
    <t>IBMS up to 10,000 sqm; rate applicable on total plinth area</t>
  </si>
  <si>
    <t>IBMS extra for built-up area above 10,000 sqm; rate applicable on total plinth area</t>
  </si>
  <si>
    <t>Hydropneumatic water supply system including pumps, pneumatic tank, controls, VFD, pipes, valves, cabling and switchgear</t>
  </si>
  <si>
    <t>₹/LPM</t>
  </si>
  <si>
    <t>Lighting automation including occupancy sensors; rate applicable on area to be specified by client</t>
  </si>
  <si>
    <t>Basic home security — Intercom system; rate applicable on plinth area excluding service/common areas</t>
  </si>
  <si>
    <t>Basic home security — CCTV system; rate applicable on plinth area excluding service/common areas</t>
  </si>
  <si>
    <t>LAN system including switches, Wi-Fi, controller, racks, CAT 6A, patch panels, OFC etc.; rate applicable on plinth area excluding service/common areas</t>
  </si>
  <si>
    <t>IP-based EPABX system including switches, server/cloud UC solution, IP/SIP phones, racks, CAT 6A, patch panels, OFC etc.; rate applicable on plinth area excluding service/common areas</t>
  </si>
  <si>
    <t>Conference hall audio visual/conference system; rate applicable on carpet area of hall only</t>
  </si>
  <si>
    <t>LED street/compound/high mast/pathway/landscape lighting for entire campus; rate applicable on total plot area</t>
  </si>
  <si>
    <t>STP/ETP plant, plant size upto 50 KLD</t>
  </si>
  <si>
    <t>₹/KLD</t>
  </si>
  <si>
    <t>Add extra for every KLD for plant size above 50 KLD and upto 100 KLD</t>
  </si>
  <si>
    <t>Add extra for every KLD for plant size above 100 KLD</t>
  </si>
  <si>
    <t>Driver face and automatic number plate recording/recognition system including high-resolution camera and software</t>
  </si>
  <si>
    <t>₹/set</t>
  </si>
  <si>
    <t>Small baggage scanner — specified multi-energy X-ray system</t>
  </si>
  <si>
    <t>₹/unit</t>
  </si>
  <si>
    <t>Big baggage scanner — specified multi-energy X-ray system</t>
  </si>
  <si>
    <t>20-zone or above door frame metal detector, nominal 760×2050×700 mm, with software</t>
  </si>
  <si>
    <t>Modular Operation Theater (MOT) with stainless steel technology; OT size basis 50 sqm</t>
  </si>
  <si>
    <t>₹/OT</t>
  </si>
  <si>
    <t>Modular Operation Theater (MOT) with SMS technology; OT size basis 50 sqm</t>
  </si>
  <si>
    <t>Electromechanical boom barrier with all accessories upto 6 metre length</t>
  </si>
  <si>
    <t>₹/each</t>
  </si>
  <si>
    <t>Sensor-based car parking system with controller, display etc.; cost based on minimum car capacity of 250</t>
  </si>
  <si>
    <t>₹/car</t>
  </si>
  <si>
    <t>Illuminated signages; rate applicable on total plinth area</t>
  </si>
  <si>
    <t>Motorized steel gates upto 6.00 metre width</t>
  </si>
  <si>
    <t>₹/gate</t>
  </si>
  <si>
    <t>Source notes embedded in the PDF</t>
  </si>
  <si>
    <t>7.2: For kVA estimation, the source refers to the CPWD Guidelines for Substation &amp; Power Distribution Systems of Buildings-2019, paras 4.4, 13 and other relevant paras.</t>
  </si>
  <si>
    <t>7.10: CCTV indoor rate includes peripheral IP-based PTZ camera, indoor cameras at reception/corridors/lift lobby etc., wiring to CCTV room and monitoring unit(s); excludes inside office/lab rooms and special video walls.</t>
  </si>
  <si>
    <t>7.17/7.18: Source notes that common switches, OFC and CAT 6A infrastructure may be economical for both voice and networking.</t>
  </si>
  <si>
    <t>7.19 street lighting: Source says applicable for plot sizes more than 1 acre; for smaller plots actual requirements may be worked out.</t>
  </si>
  <si>
    <t>General façade lighting, if required, is to be assessed case by case.</t>
  </si>
  <si>
    <t>08 — Source Notes</t>
  </si>
  <si>
    <t>Notes reproduced/organized from the CPWD PDF; no external corrections substituted.</t>
  </si>
  <si>
    <t>Note</t>
  </si>
  <si>
    <t>Source note</t>
  </si>
  <si>
    <t>1</t>
  </si>
  <si>
    <t>Rates are inclusive of CP &amp; OH, GST and Labour Welfare Cess; any other Cess/Levy imposed by local Government shall be added separately.</t>
  </si>
  <si>
    <t>2</t>
  </si>
  <si>
    <t>Third Party Quality Assurance (Item 3.1) and Consultancy Services for designing and planning of the project (Item 3.2) shall only be considered if desired by the clients.</t>
  </si>
  <si>
    <t>3</t>
  </si>
  <si>
    <t>Accessibility features for barrier-free built environment: for new construction, cost is deemed included in the rate for non-residential buildings; for existing construction, estimate may be prepared as per prevalent Delhi Schedule of Rates.</t>
  </si>
  <si>
    <t>4.1</t>
  </si>
  <si>
    <t>If development component area/length under items 6.1 to 6.7 cannot be computed: Compact site — 4.5% of building cost. Description: single huge-area building with few ancillary buildings or few high-rise blocks (higher than 12 storeys) in close cluster.</t>
  </si>
  <si>
    <t>4.2</t>
  </si>
  <si>
    <t>Semi compact/semi scattered site — 6.0% of building cost. Description: few midrise blocks (6 to 12 storeys) in a gated compound.</t>
  </si>
  <si>
    <t>4.3</t>
  </si>
  <si>
    <t>Large site — 7.5% of building cost. Description: various scattered low-rise buildings (upto 4 storeys), with exception of a block or two upto 6 storeys.</t>
  </si>
  <si>
    <t>5a</t>
  </si>
  <si>
    <t>Development works not included: tube wells, pumps, open wells, treatment plant, extension of lines from source of local bodies, head works at water source etc.</t>
  </si>
  <si>
    <t>5b</t>
  </si>
  <si>
    <t>Development works not included: sewage pumps, sewage treatment plants, septic tanks, extension of outfall sewer upto point of disposal etc.</t>
  </si>
  <si>
    <t>6</t>
  </si>
  <si>
    <t>Provision for Specialized E&amp;M services, if required, may be made as per section 7.0.</t>
  </si>
  <si>
    <t>7</t>
  </si>
  <si>
    <t>Concealed wiring shall be used in all electrical works.</t>
  </si>
  <si>
    <t>8a</t>
  </si>
  <si>
    <t>Green measure included in civil/electrical rates: over-deck insulation and high SRI reflective paint on thereof.</t>
  </si>
  <si>
    <t>8b</t>
  </si>
  <si>
    <t>Green measure included: masonry work in superstructure with AAC blocks/fly ash bricks.</t>
  </si>
  <si>
    <t>8c</t>
  </si>
  <si>
    <t>Green measure included: windows with reflective glass coating/high-performance coatings/double glazed unit.</t>
  </si>
  <si>
    <t>8d</t>
  </si>
  <si>
    <t>Green measure included: paints with low VOC options.</t>
  </si>
  <si>
    <t>8e</t>
  </si>
  <si>
    <t>Green measure included: pillar cock with infrared sensor and foam flow technology, with provision of online water filter for sediment-free water from terrace tank outlet/distribution line.</t>
  </si>
  <si>
    <t>8f</t>
  </si>
  <si>
    <t>Green measure included: dual plumbing system.</t>
  </si>
  <si>
    <t>8g</t>
  </si>
  <si>
    <t>Green measure included: LED light fixtures.</t>
  </si>
  <si>
    <t>8h</t>
  </si>
  <si>
    <t>Green measure included: BEE-certified 5-star rated fixtures.</t>
  </si>
  <si>
    <t>09 — Annexure-VI: Proforma for Calculation of Building Cost Index</t>
  </si>
  <si>
    <t>Component rates as presented in the PDF. The PDF's second page of the proforma labels the comparison rates as 01.04.2023.</t>
  </si>
  <si>
    <t>S.No.</t>
  </si>
  <si>
    <t>%age</t>
  </si>
  <si>
    <t>Rates as on 01.04.2025 (₹)</t>
  </si>
  <si>
    <t>Proportionate value (₹)</t>
  </si>
  <si>
    <t>Weightage/combined rates (₹)</t>
  </si>
  <si>
    <t>Weightage of Component (%)</t>
  </si>
  <si>
    <t>Rates at revision of Cost Index</t>
  </si>
  <si>
    <t>Cost Index</t>
  </si>
  <si>
    <t>Bricks (Fly Ash)</t>
  </si>
  <si>
    <t>1000 nos.</t>
  </si>
  <si>
    <t>Cement (OPC)</t>
  </si>
  <si>
    <t>qtl.</t>
  </si>
  <si>
    <t>3a</t>
  </si>
  <si>
    <t>TMT Steel Reinforcement bar — 8 &amp; 10 mm dia.</t>
  </si>
  <si>
    <t>3b</t>
  </si>
  <si>
    <t>TMT Steel Reinforcement bar — 12 &amp; 16 mm dia.</t>
  </si>
  <si>
    <t>4a</t>
  </si>
  <si>
    <t>Aggregates 20 mm — Natural sources</t>
  </si>
  <si>
    <t>cum</t>
  </si>
  <si>
    <t>4b</t>
  </si>
  <si>
    <t>Aggregates 20 mm (RCA)</t>
  </si>
  <si>
    <t>Sand (coarse sand) — Natural sources</t>
  </si>
  <si>
    <t>Sand (coarse sand) RA</t>
  </si>
  <si>
    <t>6a</t>
  </si>
  <si>
    <t>Flooring Items — Vitrified tiles</t>
  </si>
  <si>
    <t>6b</t>
  </si>
  <si>
    <t>Flooring Items — Ceramic tiles</t>
  </si>
  <si>
    <t>6c</t>
  </si>
  <si>
    <t>Flooring Items — Kota stone</t>
  </si>
  <si>
    <t>6d</t>
  </si>
  <si>
    <t>Flooring Items — Granite stone</t>
  </si>
  <si>
    <t>7a</t>
  </si>
  <si>
    <t>Paints — Synthetic enamel paint</t>
  </si>
  <si>
    <t>7b</t>
  </si>
  <si>
    <t>Paints — Acrylic washable distemper</t>
  </si>
  <si>
    <t>7c</t>
  </si>
  <si>
    <t>Paints — Premium acrylic paint</t>
  </si>
  <si>
    <t>Door/windows — 35 mm thick flush door shutters, both side commercial veneering</t>
  </si>
  <si>
    <t>Door/windows — Factory made, standard Z-section steel windows</t>
  </si>
  <si>
    <t>Door/windows — uPVC windows</t>
  </si>
  <si>
    <t>Door/windows — Aluminum window</t>
  </si>
  <si>
    <t>9a</t>
  </si>
  <si>
    <t>Pipes — 15 mm GI pipes</t>
  </si>
  <si>
    <t>9b</t>
  </si>
  <si>
    <t>Pipes — 100 mm CI pipes</t>
  </si>
  <si>
    <t>9c</t>
  </si>
  <si>
    <t>Pipes — 20 mm black conduits</t>
  </si>
  <si>
    <t>9d</t>
  </si>
  <si>
    <t>Pipes — 20 mm CPVC pipes</t>
  </si>
  <si>
    <t>10a</t>
  </si>
  <si>
    <t>Lamps &amp; Fans — Ceiling fans 1200 mm</t>
  </si>
  <si>
    <t>10b</t>
  </si>
  <si>
    <t>Lamps &amp; Fans — 1200 mm LED tube lights with fittings</t>
  </si>
  <si>
    <t>10c</t>
  </si>
  <si>
    <t>Lamps &amp; Fans — LED bulbs 9/11 W</t>
  </si>
  <si>
    <t>11</t>
  </si>
  <si>
    <t>Electrical machinery, Motor 7.5 HP (pump set) 1500 RPM</t>
  </si>
  <si>
    <t>12a</t>
  </si>
  <si>
    <t>Wires &amp; cables — Copper wire 1.5 sqmm</t>
  </si>
  <si>
    <t>100 metre</t>
  </si>
  <si>
    <t>12b</t>
  </si>
  <si>
    <t>Wires &amp; cables — Copper wire 4.0 sqmm</t>
  </si>
  <si>
    <t>13a</t>
  </si>
  <si>
    <t>Labour — Skilled</t>
  </si>
  <si>
    <t>13b</t>
  </si>
  <si>
    <t>Labour — Unskilled</t>
  </si>
  <si>
    <t>Purpose: The Building Cost Index indicates the change in construction cost from the base period to the current period. It is calculated using weighted changes in the rates of representative construction materials, equipment and labour.</t>
  </si>
  <si>
    <t>Important source note</t>
  </si>
  <si>
    <t>The PDF notes that aggregates 20 mm and coarse sand are split into 75% natural source and 25% RCA/RA. Where RCA/RA components are unavailable because C&amp;D waste conversion units are not set up, the 25% RCA/RA components may be avoided and 100% natural-source materials considered.</t>
  </si>
  <si>
    <t>The PDF also states that material rates adopted in column 5 and computed rates in columns 6 and 7 are bare rates excluding GST or other levy; for local cost index, bare rates at the respective station shall be considered.</t>
  </si>
  <si>
    <t>Rate ₹</t>
  </si>
  <si>
    <t>Proportionate value ₹</t>
  </si>
  <si>
    <t>Weightage rate ₹</t>
  </si>
  <si>
    <t>Component weight</t>
  </si>
  <si>
    <t>Rate at revision</t>
  </si>
  <si>
    <t>—</t>
  </si>
  <si>
    <t>TMT Steel Reinforcement Bar — 8 &amp; 10 mm dia.</t>
  </si>
  <si>
    <t>TMT Steel Reinforcement Bar — 12 &amp; 16 mm dia.</t>
  </si>
  <si>
    <t>3 Total</t>
  </si>
  <si>
    <t>TMT Steel Reinforcement Bar</t>
  </si>
  <si>
    <t>Combined</t>
  </si>
  <si>
    <t>4 Total</t>
  </si>
  <si>
    <t>Aggregates 20 mm</t>
  </si>
  <si>
    <t>Sand (coarse sand) — RA</t>
  </si>
  <si>
    <t>5 Total</t>
  </si>
  <si>
    <t>Sand (coarse sand)</t>
  </si>
  <si>
    <t>6 Total</t>
  </si>
  <si>
    <t>Flooring Items</t>
  </si>
  <si>
    <t>7 Total</t>
  </si>
  <si>
    <t>Paints</t>
  </si>
  <si>
    <t>Door/windows — 35 mm flush door, veneered both sides</t>
  </si>
  <si>
    <t>Door/windows — Factory-made Z-section steel windows</t>
  </si>
  <si>
    <t>8 Total</t>
  </si>
  <si>
    <t>Door/windows</t>
  </si>
  <si>
    <t>9 Total</t>
  </si>
  <si>
    <t>Pipes</t>
  </si>
  <si>
    <t>10 Total</t>
  </si>
  <si>
    <t>Lamps &amp; Fans</t>
  </si>
  <si>
    <t>Electrical machinery — Motor 7.5 HP (pump set) 1500 RPM</t>
  </si>
  <si>
    <t>12 Total</t>
  </si>
  <si>
    <t>Wires &amp; cables</t>
  </si>
  <si>
    <t>13 Total</t>
  </si>
  <si>
    <t>Labour</t>
  </si>
  <si>
    <t>Component weights sum to 100% (8+14.5+19.5+6.5+3+5+3+7+2.5+4.5+2.5+4+20).</t>
  </si>
  <si>
    <t>10 — Source Coverage &amp; Verification Log</t>
  </si>
  <si>
    <t>Cross-check against all 11 pages of the supplied PDF. Blank cells mean the source does not provide a corresponding value in that row.</t>
  </si>
  <si>
    <t>Check area</t>
  </si>
  <si>
    <t>Finding</t>
  </si>
  <si>
    <t>Status</t>
  </si>
  <si>
    <t>PDF location</t>
  </si>
  <si>
    <t>Document identity</t>
  </si>
  <si>
    <t>Title: Plinth Area Rates 2025</t>
  </si>
  <si>
    <t>Confirmed</t>
  </si>
  <si>
    <t>Page 1</t>
  </si>
  <si>
    <t>Effective date</t>
  </si>
  <si>
    <t>Rates as on 01.04.2025</t>
  </si>
  <si>
    <t>Unit convention</t>
  </si>
  <si>
    <t>Rate in ₹ per sqm for main PAR table</t>
  </si>
  <si>
    <t>Section 1.0</t>
  </si>
  <si>
    <t>Building Cost items 1.1–1.8</t>
  </si>
  <si>
    <t>Included</t>
  </si>
  <si>
    <t>Pages 1–2</t>
  </si>
  <si>
    <t>Section 2.0</t>
  </si>
  <si>
    <t>Services items 2.1–2.4</t>
  </si>
  <si>
    <t>Pages 2–3</t>
  </si>
  <si>
    <t>Section 3.0</t>
  </si>
  <si>
    <t>TPQA &amp; Consultancy items 3.1–3.2</t>
  </si>
  <si>
    <t>Page 3</t>
  </si>
  <si>
    <t>Section 4.0</t>
  </si>
  <si>
    <t>Passenger, Bed and Goods lifts</t>
  </si>
  <si>
    <t>Pages 3–4</t>
  </si>
  <si>
    <t>Section 5.0</t>
  </si>
  <si>
    <t>RCC Water Tank items 5.1–5.5</t>
  </si>
  <si>
    <t>Page 4</t>
  </si>
  <si>
    <t>Section 6.0</t>
  </si>
  <si>
    <t>Development of Site items 6.1–6.9.2</t>
  </si>
  <si>
    <t>Pages 4–5</t>
  </si>
  <si>
    <t>Section 7.0</t>
  </si>
  <si>
    <t>Specialized E&amp;M items 7.1–7.28</t>
  </si>
  <si>
    <t>Pages 5–8</t>
  </si>
  <si>
    <t>Notes</t>
  </si>
  <si>
    <t>Notes 1–8 and subnotes</t>
  </si>
  <si>
    <t>Page 9</t>
  </si>
  <si>
    <t>Annexure-VI</t>
  </si>
  <si>
    <t>Building Cost Index proforma</t>
  </si>
  <si>
    <t>Pages 10–11</t>
  </si>
  <si>
    <t>Duplicate source numbering</t>
  </si>
  <si>
    <t>PDF prints 1.7 twice on page 2; workbook retains one logical 1.7 row because both source occurrences contain the same description and rate.</t>
  </si>
  <si>
    <t>Reviewed</t>
  </si>
  <si>
    <t>Page 2</t>
  </si>
  <si>
    <t>Source numbering anomaly</t>
  </si>
  <si>
    <t>PDF labels conference hall as 7.19 and street lighting also as 7.19/7.19.1; workbook preserves the source labels rather than silently renumbering.</t>
  </si>
  <si>
    <t>Page 7</t>
  </si>
  <si>
    <t>PDF shows Basic Home Security heading 7.15, then subitems 7.15.2 and 7.16.3; workbook preserves these item numbers.</t>
  </si>
  <si>
    <t>Cost-index date label</t>
  </si>
  <si>
    <t>Page 11 shows 'Rates as on 01.04.2023' while the document itself is PAR 2025; workbook preserves the PDF's printed heading and does not overwrite it.</t>
  </si>
  <si>
    <t>Page 11</t>
  </si>
  <si>
    <t>No silent correction</t>
  </si>
  <si>
    <t>Values/descriptions were reorganized for Excel usability but not replaced with external values.</t>
  </si>
  <si>
    <t>Entire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</si>
</sst>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x14ac:knownFonts="1">
    <font>
      <sz val="11"/>
      <color theme="1"/>
      <name val="Calibri"/>
      <family val="2"/>
      <scheme val="minor"/>
    </font>
    <font>
      <b/>
      <sz val="14"/>
      <name val="Calibri"/>
      <family val="2"/>
    </font>
    <font>
      <i/>
      <sz val="11"/>
      <color rgb="FF666666"/>
      <name val="Calibri"/>
      <family val="2"/>
    </font>
    <font>
      <b/>
      <sz val="11"/>
      <name val="Calibri"/>
      <family val="2"/>
    </font>
    <font>
      <b/>
      <sz val="11"/>
      <color theme="1"/>
      <name val="Calibri"/>
      <family val="2"/>
      <scheme val="minor"/>
    </font>
    <font>
      <b/>
      <sz val="11"/>
      <name val="Calibri"/>
      <family val="2"/>
    </font>
    <font>
      <b/>
      <sz val="10"/>
      <name val="Arial"/>
      <family val="2"/>
    </font>
    <font>
      <sz val="10"/>
      <name val="Arial"/>
      <family val="2"/>
    </font>
    <font>
      <b/>
      <sz val="16"/>
      <color rgb="FF1F4E78"/>
      <name val="Calibri"/>
      <family val="2"/>
    </font>
    <font>
      <b/>
      <sz val="11"/>
      <color rgb="FF1F4E78"/>
      <name val="Calibri"/>
      <family val="2"/>
    </font>
    <font>
      <b/>
      <sz val="10"/>
      <color rgb="FF1F4E78"/>
      <name val="Calibri"/>
      <family val="2"/>
    </font>
    <font>
      <sz val="9"/>
      <color rgb="FF808080"/>
      <name val="Calibri"/>
      <family val="2"/>
    </font>
    <font>
      <sz val="10"/>
      <color rgb="FF000000"/>
      <name val="Calibri"/>
      <family val="2"/>
    </font>
    <font>
      <i/>
      <sz val="10"/>
      <color rgb="FF7030A0"/>
      <name val="Calibri"/>
      <family val="2"/>
    </font>
    <font>
      <b/>
      <sz val="10"/>
      <color rgb="FF000000"/>
      <name val="Calibri"/>
      <family val="2"/>
    </font>
    <font>
      <b/>
      <sz val="14"/>
      <color rgb="FFFFFFFF"/>
      <name val="Calibri"/>
      <family val="2"/>
    </font>
    <font>
      <b/>
      <sz val="10"/>
      <name val="Calibri"/>
      <family val="2"/>
    </font>
    <font>
      <u/>
      <sz val="10"/>
      <color rgb="FF0563C1"/>
      <name val="Calibri"/>
      <family val="2"/>
    </font>
    <font>
      <i/>
      <sz val="9"/>
      <color rgb="FF808080"/>
      <name val="Calibri"/>
      <family val="2"/>
    </font>
    <font>
      <b/>
      <sz val="11"/>
      <color rgb="FFFFFFFF"/>
      <name val="Calibri"/>
      <family val="2"/>
    </font>
    <font>
      <b/>
      <sz val="9.5"/>
      <color rgb="FF1F4E78"/>
      <name val="Calibri"/>
      <family val="2"/>
    </font>
    <font>
      <sz val="10"/>
      <color rgb="FFFFFFFF"/>
      <name val="Calibri"/>
      <family val="2"/>
    </font>
    <font>
      <b/>
      <sz val="10"/>
      <color rgb="FFFFFFFF"/>
      <name val="Calibri"/>
      <family val="2"/>
    </font>
    <font>
      <sz val="9"/>
      <color rgb="FF808080"/>
      <name val="Calibri"/>
      <family val="2"/>
    </font>
    <font>
      <b/>
      <sz val="8.5"/>
      <color rgb="FFFFFFFF"/>
      <name val="Calibri"/>
      <family val="2"/>
    </font>
    <font>
      <sz val="10"/>
      <name val="Calibri"/>
      <family val="2"/>
    </font>
    <font>
      <i/>
      <sz val="9.5"/>
      <color rgb="FF7030A0"/>
      <name val="Calibri"/>
      <family val="2"/>
    </font>
  </fonts>
  <fills count="10">
    <fill>
      <patternFill patternType="none"/>
    </fill>
    <fill>
      <patternFill patternType="gray125"/>
    </fill>
    <fill>
      <patternFill patternType="solid">
        <fgColor rgb="FFD9EAF7"/>
      </patternFill>
    </fill>
    <fill>
      <patternFill patternType="solid">
        <fgColor rgb="FF1F4E78"/>
      </patternFill>
    </fill>
    <fill>
      <patternFill patternType="solid">
        <fgColor rgb="FFE2EFDA"/>
      </patternFill>
    </fill>
    <fill>
      <patternFill patternType="solid">
        <fgColor rgb="FFF2F2F2"/>
      </patternFill>
    </fill>
    <fill>
      <patternFill patternType="solid">
        <fgColor rgb="FFC00000"/>
      </patternFill>
    </fill>
    <fill>
      <patternFill patternType="solid">
        <fgColor rgb="FFDDEBF7"/>
      </patternFill>
    </fill>
    <fill>
      <patternFill patternType="solid">
        <fgColor rgb="FF2E5C8A"/>
      </patternFill>
    </fill>
    <fill>
      <patternFill patternType="solid">
        <fgColor rgb="FF8EA9C1"/>
      </patternFill>
    </fill>
  </fills>
  <borders count="4">
    <border>
      <left/>
      <right/>
      <top/>
      <bottom/>
      <diagonal/>
    </border>
    <border>
      <left/>
      <right/>
      <top/>
      <bottom style="thin">
        <color rgb="FFB7B7B7"/>
      </bottom>
      <diagonal/>
    </border>
    <border>
      <left style="thin">
        <color rgb="FFBFBFBF"/>
      </left>
      <right style="thin">
        <color rgb="FFBFBFBF"/>
      </right>
      <top style="thin">
        <color rgb="FFBFBFBF"/>
      </top>
      <bottom style="thin">
        <color rgb="FFBFBFBF"/>
      </bottom>
      <diagonal/>
    </border>
    <border>
      <left style="thin">
        <color rgb="FF9DC3E6"/>
      </left>
      <right style="thin">
        <color rgb="FF9DC3E6"/>
      </right>
      <top style="thin">
        <color rgb="FF9DC3E6"/>
      </top>
      <bottom style="thin">
        <color rgb="FF9DC3E6"/>
      </bottom>
      <diagonal/>
    </border>
  </borders>
  <cellStyleXfs count="1">
    <xf numFmtId="0" fontId="0" fillId="0" borderId="0"/>
  </cellStyleXfs>
  <cellXfs count="74">
    <xf numFmtId="0" fontId="0" fillId="0" borderId="0" xfId="0"/>
    <xf numFmtId="0" fontId="3" fillId="2" borderId="1" xfId="0" applyFont="1" applyFill="1" applyBorder="1" applyAlignment="1">
      <alignment vertical="top" wrapText="1"/>
    </xf>
    <xf numFmtId="0" fontId="0" fillId="0" borderId="0" xfId="0" applyAlignment="1">
      <alignment vertical="top" wrapText="1"/>
    </xf>
    <xf numFmtId="3" fontId="0" fillId="0" borderId="0" xfId="0" applyNumberFormat="1" applyAlignment="1">
      <alignment vertical="top" wrapText="1"/>
    </xf>
    <xf numFmtId="4" fontId="0" fillId="0" borderId="0" xfId="0" applyNumberFormat="1" applyAlignment="1">
      <alignment vertical="top" wrapText="1"/>
    </xf>
    <xf numFmtId="0" fontId="1" fillId="0" borderId="0" xfId="0" applyFont="1" applyAlignment="1">
      <alignment vertical="top"/>
    </xf>
    <xf numFmtId="0" fontId="2" fillId="0" borderId="0" xfId="0" applyFont="1" applyAlignment="1">
      <alignment vertical="top"/>
    </xf>
    <xf numFmtId="0" fontId="0" fillId="0" borderId="0" xfId="0" applyAlignment="1">
      <alignment vertical="top"/>
    </xf>
    <xf numFmtId="0" fontId="3" fillId="0" borderId="0" xfId="0" applyFont="1" applyAlignment="1">
      <alignment vertical="top"/>
    </xf>
    <xf numFmtId="0" fontId="4" fillId="0" borderId="0" xfId="0" applyFont="1"/>
    <xf numFmtId="0" fontId="4" fillId="0" borderId="0" xfId="0" applyFont="1" applyAlignment="1">
      <alignment horizontal="left" vertical="center" indent="1"/>
    </xf>
    <xf numFmtId="0" fontId="4" fillId="0" borderId="0" xfId="0" applyFont="1" applyAlignment="1">
      <alignment horizontal="center" vertical="center" wrapText="1"/>
    </xf>
    <xf numFmtId="0" fontId="0" fillId="0" borderId="0" xfId="0" applyAlignment="1">
      <alignment horizontal="right" vertical="center" wrapText="1"/>
    </xf>
    <xf numFmtId="0" fontId="4" fillId="0" borderId="0" xfId="0" applyFont="1" applyAlignment="1">
      <alignment horizontal="right" vertical="center" wrapText="1"/>
    </xf>
    <xf numFmtId="0" fontId="0" fillId="0" borderId="0" xfId="0" applyAlignment="1">
      <alignment vertical="center" wrapText="1"/>
    </xf>
    <xf numFmtId="9" fontId="0" fillId="0" borderId="0" xfId="0" applyNumberFormat="1" applyAlignment="1">
      <alignment horizontal="right" vertical="center" wrapText="1"/>
    </xf>
    <xf numFmtId="4" fontId="0" fillId="0" borderId="0" xfId="0" applyNumberFormat="1" applyAlignment="1">
      <alignment horizontal="right" vertical="center" wrapText="1"/>
    </xf>
    <xf numFmtId="4" fontId="4" fillId="0" borderId="0" xfId="0" applyNumberFormat="1" applyFont="1" applyAlignment="1">
      <alignment horizontal="right" vertical="center" wrapText="1"/>
    </xf>
    <xf numFmtId="10" fontId="0" fillId="0" borderId="0" xfId="0" applyNumberFormat="1" applyAlignment="1">
      <alignment horizontal="right" vertical="center" wrapText="1"/>
    </xf>
    <xf numFmtId="10" fontId="4" fillId="0" borderId="0" xfId="0" applyNumberFormat="1" applyFont="1" applyAlignment="1">
      <alignment horizontal="right" vertical="center" wrapText="1"/>
    </xf>
    <xf numFmtId="0" fontId="4" fillId="0" borderId="0" xfId="0" applyFont="1" applyAlignment="1">
      <alignment vertical="center" wrapText="1"/>
    </xf>
    <xf numFmtId="9" fontId="4" fillId="0" borderId="0" xfId="0" applyNumberFormat="1" applyFont="1" applyAlignment="1">
      <alignment horizontal="right" vertical="center" wrapText="1"/>
    </xf>
    <xf numFmtId="0" fontId="4" fillId="0" borderId="0" xfId="0" applyFont="1" applyAlignment="1">
      <alignment horizontal="left" vertical="center" wrapText="1"/>
    </xf>
    <xf numFmtId="0" fontId="0" fillId="0" borderId="0" xfId="0" applyAlignment="1">
      <alignment horizontal="left" vertical="center" wrapText="1"/>
    </xf>
    <xf numFmtId="0" fontId="5" fillId="2" borderId="1" xfId="0" applyFont="1" applyFill="1" applyBorder="1" applyAlignment="1">
      <alignment vertical="top" wrapText="1"/>
    </xf>
    <xf numFmtId="0" fontId="6" fillId="0" borderId="0" xfId="0" applyFont="1"/>
    <xf numFmtId="0" fontId="7" fillId="0" borderId="0" xfId="0" applyFont="1"/>
    <xf numFmtId="0" fontId="0" fillId="4" borderId="0" xfId="0" applyFill="1"/>
    <xf numFmtId="0" fontId="0" fillId="6" borderId="0" xfId="0" applyFill="1"/>
    <xf numFmtId="0" fontId="8" fillId="0" borderId="0" xfId="0" applyFont="1"/>
    <xf numFmtId="0" fontId="9" fillId="0" borderId="0" xfId="0" applyFont="1"/>
    <xf numFmtId="0" fontId="10" fillId="7" borderId="2" xfId="0" applyFont="1" applyFill="1" applyBorder="1" applyAlignment="1">
      <alignment vertical="center"/>
    </xf>
    <xf numFmtId="0" fontId="11" fillId="0" borderId="0" xfId="0" applyFont="1" applyAlignment="1">
      <alignment vertical="center" wrapText="1"/>
    </xf>
    <xf numFmtId="0" fontId="12" fillId="0" borderId="2" xfId="0" applyFont="1" applyBorder="1" applyAlignment="1">
      <alignment vertical="center"/>
    </xf>
    <xf numFmtId="0" fontId="13" fillId="0" borderId="2" xfId="0" applyFont="1" applyBorder="1" applyAlignment="1">
      <alignment vertical="center"/>
    </xf>
    <xf numFmtId="0" fontId="14" fillId="4" borderId="2" xfId="0" applyFont="1" applyFill="1" applyBorder="1" applyAlignment="1">
      <alignment vertical="center"/>
    </xf>
    <xf numFmtId="0" fontId="16" fillId="0" borderId="0" xfId="0" applyFont="1"/>
    <xf numFmtId="0" fontId="11" fillId="0" borderId="0" xfId="0" applyFont="1"/>
    <xf numFmtId="0" fontId="17" fillId="0" borderId="0" xfId="0" applyFont="1"/>
    <xf numFmtId="0" fontId="18" fillId="0" borderId="0" xfId="0" applyFont="1"/>
    <xf numFmtId="0" fontId="19" fillId="3" borderId="0" xfId="0" applyFont="1" applyFill="1"/>
    <xf numFmtId="0" fontId="15" fillId="6" borderId="0" xfId="0" applyFont="1" applyFill="1"/>
    <xf numFmtId="0" fontId="20" fillId="5" borderId="0" xfId="0" applyFont="1" applyFill="1"/>
    <xf numFmtId="0" fontId="0" fillId="8" borderId="0" xfId="0" applyFill="1"/>
    <xf numFmtId="0" fontId="21" fillId="8" borderId="0" xfId="0" applyFont="1" applyFill="1"/>
    <xf numFmtId="0" fontId="24" fillId="9" borderId="2" xfId="0" applyFont="1" applyFill="1" applyBorder="1" applyAlignment="1">
      <alignment vertical="center"/>
    </xf>
    <xf numFmtId="0" fontId="25" fillId="0" borderId="0" xfId="0" applyFont="1" applyAlignment="1">
      <alignment vertical="center"/>
    </xf>
    <xf numFmtId="0" fontId="10" fillId="7" borderId="3" xfId="0" applyFont="1" applyFill="1" applyBorder="1"/>
    <xf numFmtId="2" fontId="10" fillId="7" borderId="3" xfId="0" applyNumberFormat="1" applyFont="1" applyFill="1" applyBorder="1"/>
    <xf numFmtId="0" fontId="23" fillId="0" borderId="0" xfId="0" applyFont="1" applyAlignment="1">
      <alignment vertical="center"/>
    </xf>
    <xf numFmtId="1" fontId="10" fillId="7" borderId="3" xfId="0" applyNumberFormat="1" applyFont="1" applyFill="1" applyBorder="1"/>
    <xf numFmtId="4" fontId="10" fillId="7" borderId="3" xfId="0" applyNumberFormat="1" applyFont="1" applyFill="1" applyBorder="1"/>
    <xf numFmtId="3" fontId="26" fillId="0" borderId="0" xfId="0" applyNumberFormat="1" applyFont="1" applyAlignment="1">
      <alignment vertical="center"/>
    </xf>
    <xf numFmtId="3" fontId="12" fillId="0" borderId="2" xfId="0" applyNumberFormat="1" applyFont="1" applyBorder="1"/>
    <xf numFmtId="0" fontId="12" fillId="0" borderId="0" xfId="0" applyFont="1"/>
    <xf numFmtId="1" fontId="12" fillId="0" borderId="2" xfId="0" applyNumberFormat="1" applyFont="1" applyBorder="1"/>
    <xf numFmtId="3" fontId="10" fillId="7" borderId="3" xfId="0" applyNumberFormat="1" applyFont="1" applyFill="1" applyBorder="1"/>
    <xf numFmtId="0" fontId="14" fillId="4" borderId="0" xfId="0" applyFont="1" applyFill="1"/>
    <xf numFmtId="3" fontId="14" fillId="4" borderId="0" xfId="0" applyNumberFormat="1" applyFont="1" applyFill="1"/>
    <xf numFmtId="0" fontId="26" fillId="0" borderId="0" xfId="0" applyFont="1" applyAlignment="1">
      <alignment vertical="center"/>
    </xf>
    <xf numFmtId="3" fontId="23" fillId="0" borderId="2" xfId="0" applyNumberFormat="1" applyFont="1" applyBorder="1"/>
    <xf numFmtId="10" fontId="26" fillId="0" borderId="0" xfId="0" applyNumberFormat="1" applyFont="1" applyAlignment="1">
      <alignment vertical="center"/>
    </xf>
    <xf numFmtId="0" fontId="23" fillId="0" borderId="0" xfId="0" applyFont="1"/>
    <xf numFmtId="0" fontId="23" fillId="0" borderId="2" xfId="0" applyFont="1" applyBorder="1"/>
    <xf numFmtId="3" fontId="15" fillId="6" borderId="0" xfId="0" applyNumberFormat="1" applyFont="1" applyFill="1"/>
    <xf numFmtId="4" fontId="18" fillId="0" borderId="0" xfId="0" applyNumberFormat="1" applyFont="1"/>
    <xf numFmtId="3" fontId="22" fillId="8" borderId="0" xfId="0" applyNumberFormat="1" applyFont="1" applyFill="1"/>
    <xf numFmtId="3" fontId="23" fillId="0" borderId="0" xfId="0" applyNumberFormat="1" applyFont="1"/>
    <xf numFmtId="10" fontId="10" fillId="7" borderId="3" xfId="0" applyNumberFormat="1" applyFont="1" applyFill="1" applyBorder="1"/>
    <xf numFmtId="4" fontId="12" fillId="0" borderId="2" xfId="0" applyNumberFormat="1" applyFont="1" applyBorder="1"/>
    <xf numFmtId="0" fontId="17" fillId="6" borderId="2" xfId="0" applyFont="1" applyFill="1" applyBorder="1" applyAlignment="1">
      <alignment vertical="center"/>
    </xf>
    <xf numFmtId="0" fontId="0" fillId="0" borderId="0" xfId="0" applyAlignment="1">
      <alignment vertical="top" wrapText="1"/>
    </xf>
    <xf numFmtId="0" fontId="0" fillId="0" borderId="0" xfId="0"/>
    <xf numFmtId="0" fontId="8"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id="1" name="BuildingCostTable" displayName="BuildingCostTable" ref="A4:F40">
  <autoFilter ref="A4:F40"/>
  <tableColumns count="6">
    <tableColumn id="1" name="Item No."/>
    <tableColumn id="2" name="Category"/>
    <tableColumn id="3" name="Description / condition"/>
    <tableColumn id="4" name="Building type / applicability"/>
    <tableColumn id="5" name="Rate unit"/>
    <tableColumn id="6" name="Rate"/>
  </tableColumns>
  <tableStyleInfo name="TableStyleMedium2" showFirstColumn="0" showLastColumn="0" showRowStripes="1" showColumnStripes="0"/>
</table>
</file>

<file path=xl/tables/table2.xml><?xml version="1.0" encoding="utf-8"?>
<table xmlns="http://schemas.openxmlformats.org/spreadsheetml/2006/main" id="2" name="ServicesTable" displayName="ServicesTable" ref="A4:E25">
  <autoFilter ref="A4:E25"/>
  <tableColumns count="5">
    <tableColumn id="1" name="Item No."/>
    <tableColumn id="2" name="Description"/>
    <tableColumn id="3" name="Building type / condition"/>
    <tableColumn id="4" name="Rate basis"/>
    <tableColumn id="5" name="Rate (%)"/>
  </tableColumns>
  <tableStyleInfo name="TableStyleMedium2" showFirstColumn="0" showLastColumn="0" showRowStripes="1" showColumnStripes="0"/>
</table>
</file>

<file path=xl/tables/table3.xml><?xml version="1.0" encoding="utf-8"?>
<table xmlns="http://schemas.openxmlformats.org/spreadsheetml/2006/main" id="3" name="ConsultancyTable" displayName="ConsultancyTable" ref="A4:E6">
  <autoFilter ref="A4:E6"/>
  <tableColumns count="5">
    <tableColumn id="1" name="Item No."/>
    <tableColumn id="2" name="Description"/>
    <tableColumn id="3" name="Applicability"/>
    <tableColumn id="4" name="Rate basis"/>
    <tableColumn id="5" name="Rate (%)"/>
  </tableColumns>
  <tableStyleInfo name="TableStyleMedium2" showFirstColumn="0" showLastColumn="0" showRowStripes="1" showColumnStripes="0"/>
</table>
</file>

<file path=xl/tables/table4.xml><?xml version="1.0" encoding="utf-8"?>
<table xmlns="http://schemas.openxmlformats.org/spreadsheetml/2006/main" id="4" name="LiftsTable" displayName="LiftsTable" ref="A4:G17">
  <autoFilter ref="A4:G17"/>
  <tableColumns count="7">
    <tableColumn id="1" name="Item No."/>
    <tableColumn id="2" name="Lift type"/>
    <tableColumn id="3" name="Capacity / persons"/>
    <tableColumn id="4" name="Speed (m/sec)"/>
    <tableColumn id="5" name="Travel height"/>
    <tableColumn id="6" name="Price (₹ lakh)"/>
    <tableColumn id="7" name="Extra per additional floor (₹)"/>
  </tableColumns>
  <tableStyleInfo name="TableStyleMedium2" showFirstColumn="0" showLastColumn="0" showRowStripes="1" showColumnStripes="0"/>
</table>
</file>

<file path=xl/tables/table5.xml><?xml version="1.0" encoding="utf-8"?>
<table xmlns="http://schemas.openxmlformats.org/spreadsheetml/2006/main" id="5" name="WaterTankTable" displayName="WaterTankTable" ref="A4:D9">
  <autoFilter ref="A4:D9"/>
  <tableColumns count="4">
    <tableColumn id="1" name="Item No."/>
    <tableColumn id="2" name="Description"/>
    <tableColumn id="3" name="Rate unit"/>
    <tableColumn id="4" name="Rate"/>
  </tableColumns>
  <tableStyleInfo name="TableStyleMedium2" showFirstColumn="0" showLastColumn="0" showRowStripes="1" showColumnStripes="0"/>
</table>
</file>

<file path=xl/tables/table6.xml><?xml version="1.0" encoding="utf-8"?>
<table xmlns="http://schemas.openxmlformats.org/spreadsheetml/2006/main" id="6" name="DevelopmentTable" displayName="DevelopmentTable" ref="A4:D20">
  <autoFilter ref="A4:D20"/>
  <tableColumns count="4">
    <tableColumn id="1" name="Item No."/>
    <tableColumn id="2" name="Description"/>
    <tableColumn id="3" name="Rate unit"/>
    <tableColumn id="4" name="Rate"/>
  </tableColumns>
  <tableStyleInfo name="TableStyleMedium2" showFirstColumn="0" showLastColumn="0" showRowStripes="1" showColumnStripes="0"/>
</table>
</file>

<file path=xl/tables/table7.xml><?xml version="1.0" encoding="utf-8"?>
<table xmlns="http://schemas.openxmlformats.org/spreadsheetml/2006/main" id="7" name="SpecialEMTable" displayName="SpecialEMTable" ref="A4:D43">
  <autoFilter ref="A4:D43"/>
  <tableColumns count="4">
    <tableColumn id="1" name="Item No."/>
    <tableColumn id="2" name="Description / applicability"/>
    <tableColumn id="3" name="Rate unit"/>
    <tableColumn id="4" name="Rate"/>
  </tableColumns>
  <tableStyleInfo name="TableStyleMedium2" showFirstColumn="0" showLastColumn="0" showRowStripes="1" showColumnStripes="0"/>
</table>
</file>

<file path=xl/tables/table8.xml><?xml version="1.0" encoding="utf-8"?>
<table xmlns="http://schemas.openxmlformats.org/spreadsheetml/2006/main" id="8" name="NotesTable" displayName="NotesTable" ref="A4:B22">
  <autoFilter ref="A4:B22"/>
  <tableColumns count="2">
    <tableColumn id="1" name="Note"/>
    <tableColumn id="2" name="Source note"/>
  </tableColumns>
  <tableStyleInfo name="TableStyleMedium2" showFirstColumn="0" showLastColumn="0" showRowStripes="1" showColumnStripes="0"/>
</table>
</file>

<file path=xl/tables/table9.xml><?xml version="1.0" encoding="utf-8"?>
<table xmlns="http://schemas.openxmlformats.org/spreadsheetml/2006/main" id="9" name="CostIndexTable" displayName="CostIndexTable" ref="A4:J35">
  <autoFilter ref="A4:J35"/>
  <tableColumns count="10">
    <tableColumn id="1" name="S.No."/>
    <tableColumn id="2" name="Description"/>
    <tableColumn id="3" name="Unit"/>
    <tableColumn id="4" name="%age"/>
    <tableColumn id="5" name="Rates as on 01.04.2025 (₹)"/>
    <tableColumn id="6" name="Proportionate value (₹)"/>
    <tableColumn id="7" name="Weightage/combined rates (₹)"/>
    <tableColumn id="8" name="Weightage of Component (%)"/>
    <tableColumn id="9" name="Rates at revision of Cost Index"/>
    <tableColumn id="10" name="Cost Index"/>
  </tableColumns>
  <tableStyleInfo name="TableStyleMedium2" showFirstColumn="0" showLastColumn="0" showRowStripes="1" showColumnStripes="0"/>
</table>
</file>

<file path=xl/tables/table10.xml><?xml version="1.0" encoding="utf-8"?>
<table xmlns="http://schemas.openxmlformats.org/spreadsheetml/2006/main" id="10" name="SourceCheckTable" displayName="SourceCheckTable" ref="A4:D21">
  <autoFilter ref="A4:D21"/>
  <tableColumns count="4">
    <tableColumn id="1" name="Check area"/>
    <tableColumn id="2" name="Finding"/>
    <tableColumn id="3" name="Status"/>
    <tableColumn id="4" name="PDF loc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28"/>
  <sheetViews>
    <sheetView showGridLines="0" topLeftCell="A7" workbookViewId="0">
      <selection activeCell="B18" sqref="B18"/>
    </sheetView>
  </sheetViews>
  <sheetFormatPr defaultRowHeight="14.4" x14ac:dyDescent="0.3"/>
  <cols>
    <col min="1" max="1" width="3" customWidth="1"/>
    <col min="2" max="2" width="34" customWidth="1"/>
    <col min="3" max="3" width="62" customWidth="1"/>
  </cols>
  <sheetData>
    <row r="2" spans="2:3" ht="21" x14ac:dyDescent="0.4">
      <c r="B2" s="73" t="s">
        <v>0</v>
      </c>
      <c r="C2" s="72"/>
    </row>
    <row r="4" spans="2:3" x14ac:dyDescent="0.3">
      <c r="B4" s="30" t="s">
        <v>1</v>
      </c>
    </row>
    <row r="5" spans="2:3" ht="100.05" customHeight="1" x14ac:dyDescent="0.3">
      <c r="B5" s="71" t="s">
        <v>2</v>
      </c>
      <c r="C5" s="72"/>
    </row>
    <row r="8" spans="2:3" x14ac:dyDescent="0.3">
      <c r="B8" s="30" t="s">
        <v>3</v>
      </c>
    </row>
    <row r="9" spans="2:3" ht="30" customHeight="1" x14ac:dyDescent="0.3">
      <c r="B9" s="31" t="s">
        <v>4</v>
      </c>
      <c r="C9" s="32" t="s">
        <v>5</v>
      </c>
    </row>
    <row r="10" spans="2:3" ht="30" customHeight="1" x14ac:dyDescent="0.3">
      <c r="B10" s="33" t="s">
        <v>6</v>
      </c>
      <c r="C10" s="32" t="s">
        <v>7</v>
      </c>
    </row>
    <row r="11" spans="2:3" ht="30" customHeight="1" x14ac:dyDescent="0.3">
      <c r="B11" s="34" t="s">
        <v>8</v>
      </c>
      <c r="C11" s="32" t="s">
        <v>9</v>
      </c>
    </row>
    <row r="12" spans="2:3" ht="30" customHeight="1" x14ac:dyDescent="0.3">
      <c r="B12" s="35" t="s">
        <v>10</v>
      </c>
      <c r="C12" s="32" t="s">
        <v>11</v>
      </c>
    </row>
    <row r="13" spans="2:3" ht="30" customHeight="1" x14ac:dyDescent="0.3">
      <c r="B13" s="70" t="s">
        <v>12</v>
      </c>
      <c r="C13" s="32" t="s">
        <v>13</v>
      </c>
    </row>
    <row r="15" spans="2:3" x14ac:dyDescent="0.3">
      <c r="B15" s="36" t="s">
        <v>14</v>
      </c>
      <c r="C15" s="37" t="s">
        <v>15</v>
      </c>
    </row>
    <row r="17" spans="2:2" x14ac:dyDescent="0.3">
      <c r="B17" s="30" t="s">
        <v>16</v>
      </c>
    </row>
    <row r="18" spans="2:2" x14ac:dyDescent="0.3">
      <c r="B18" s="38" t="s">
        <v>17</v>
      </c>
    </row>
    <row r="19" spans="2:2" x14ac:dyDescent="0.3">
      <c r="B19" s="38" t="s">
        <v>18</v>
      </c>
    </row>
    <row r="20" spans="2:2" x14ac:dyDescent="0.3">
      <c r="B20" s="38" t="s">
        <v>19</v>
      </c>
    </row>
    <row r="21" spans="2:2" x14ac:dyDescent="0.3">
      <c r="B21" s="38" t="s">
        <v>20</v>
      </c>
    </row>
    <row r="22" spans="2:2" x14ac:dyDescent="0.3">
      <c r="B22" s="38" t="s">
        <v>21</v>
      </c>
    </row>
    <row r="23" spans="2:2" x14ac:dyDescent="0.3">
      <c r="B23" s="38" t="s">
        <v>22</v>
      </c>
    </row>
    <row r="24" spans="2:2" x14ac:dyDescent="0.3">
      <c r="B24" s="38" t="s">
        <v>23</v>
      </c>
    </row>
    <row r="25" spans="2:2" x14ac:dyDescent="0.3">
      <c r="B25" s="38" t="s">
        <v>24</v>
      </c>
    </row>
    <row r="26" spans="2:2" x14ac:dyDescent="0.3">
      <c r="B26" s="38" t="s">
        <v>25</v>
      </c>
    </row>
    <row r="27" spans="2:2" x14ac:dyDescent="0.3">
      <c r="B27" s="38" t="s">
        <v>26</v>
      </c>
    </row>
    <row r="28" spans="2:2" x14ac:dyDescent="0.3">
      <c r="B28" s="38" t="s">
        <v>12</v>
      </c>
    </row>
  </sheetData>
  <mergeCells count="2">
    <mergeCell ref="B5:C5"/>
    <mergeCell ref="B2:C2"/>
  </mergeCells>
  <hyperlinks>
    <hyperlink ref="B13" location="'Estimator'!A181" display="Grand Total"/>
    <hyperlink ref="B18" location="'Estimator'!A5" display="Results Summary"/>
    <hyperlink ref="B19" location="'Estimator'!A19" display="A. Building basics"/>
    <hyperlink ref="B20" location="'Estimator'!A30" display="B/C. Base rate &amp; storey-band extra"/>
    <hyperlink ref="B21" location="'Estimator'!A49" display="D. Foundation / basement / stilt / fire extras"/>
    <hyperlink ref="B22" location="'Estimator'!A73" display="E. Services"/>
    <hyperlink ref="B23" location="'Estimator'!A83" display="F. TPQA &amp; Consultancy"/>
    <hyperlink ref="B24" location="'Estimator'!A94" display="G. Lifts"/>
    <hyperlink ref="B25" location="'Estimator'!A100" display="H. Water Tank"/>
    <hyperlink ref="B26" location="'Estimator'!A108" display="I. Development of Site"/>
    <hyperlink ref="B27" location="'Estimator'!A128" display="J. Specialized E&amp;M"/>
    <hyperlink ref="B28" location="'Estimator'!A181" display="Grand Total"/>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C00000"/>
    <outlinePr summaryBelow="0" summaryRight="0"/>
  </sheetPr>
  <dimension ref="A1:L195"/>
  <sheetViews>
    <sheetView showGridLines="0" tabSelected="1" workbookViewId="0">
      <pane ySplit="18" topLeftCell="A186" activePane="bottomLeft" state="frozen"/>
      <selection pane="bottomLeft" activeCell="B186" sqref="B186"/>
    </sheetView>
  </sheetViews>
  <sheetFormatPr defaultRowHeight="14.4" outlineLevelRow="1" x14ac:dyDescent="0.3"/>
  <cols>
    <col min="1" max="1" width="9" customWidth="1"/>
    <col min="2" max="2" width="46" customWidth="1"/>
    <col min="3" max="4" width="17" customWidth="1"/>
    <col min="5" max="5" width="10" customWidth="1"/>
    <col min="6" max="6" width="13" customWidth="1"/>
    <col min="7" max="7" width="16" customWidth="1"/>
    <col min="9" max="12" width="13" hidden="1" customWidth="1"/>
  </cols>
  <sheetData>
    <row r="1" spans="1:9" ht="21" x14ac:dyDescent="0.4">
      <c r="A1" s="29" t="s">
        <v>0</v>
      </c>
      <c r="I1" t="s">
        <v>27</v>
      </c>
    </row>
    <row r="2" spans="1:9" x14ac:dyDescent="0.3">
      <c r="A2" s="39" t="s">
        <v>28</v>
      </c>
      <c r="I2" t="str">
        <f>IF(OR($C$21="Hostels — with attached toilets",$C$21="Hostels — with common toilets",$C$21="Quarters"),"Hostels/Quarters",$C$21)</f>
        <v>Offices/Colleges</v>
      </c>
    </row>
    <row r="3" spans="1:9" x14ac:dyDescent="0.3">
      <c r="I3" t="s">
        <v>29</v>
      </c>
    </row>
    <row r="4" spans="1:9" ht="16.95" customHeight="1" x14ac:dyDescent="0.3">
      <c r="A4" s="40" t="s">
        <v>30</v>
      </c>
      <c r="B4" s="40"/>
      <c r="C4" s="40"/>
      <c r="D4" s="40"/>
      <c r="E4" s="40"/>
      <c r="F4" s="40"/>
      <c r="G4" s="40"/>
      <c r="I4" t="str">
        <f>IF($C$22="RCC Framed","RCC FRAMED STRUCTURE (Upto six storeys)","COMPOSITE (PARTIALLY LOAD BEARING AND PARTIALLY RCC FRAMED) STRUCTURE (Upto six storeys)")</f>
        <v>RCC FRAMED STRUCTURE (Upto six storeys)</v>
      </c>
    </row>
    <row r="5" spans="1:9" ht="24" customHeight="1" x14ac:dyDescent="0.35">
      <c r="A5" s="28"/>
      <c r="B5" s="41" t="s">
        <v>31</v>
      </c>
      <c r="C5" s="28"/>
      <c r="D5" s="28"/>
      <c r="E5" s="28"/>
      <c r="F5" s="28"/>
      <c r="G5" s="64">
        <f>$G$192</f>
        <v>0</v>
      </c>
      <c r="I5" t="s">
        <v>32</v>
      </c>
    </row>
    <row r="6" spans="1:9" x14ac:dyDescent="0.3">
      <c r="B6" s="39" t="s">
        <v>33</v>
      </c>
      <c r="G6" s="65">
        <f>$G$192/10000000</f>
        <v>0</v>
      </c>
      <c r="I6" t="str">
        <f>"Floor height "&amp;TEXT($C$23,"0.00")&amp;" metre"</f>
        <v>Floor height 3.60 metre</v>
      </c>
    </row>
    <row r="7" spans="1:9" x14ac:dyDescent="0.3">
      <c r="I7" t="s">
        <v>34</v>
      </c>
    </row>
    <row r="8" spans="1:9" ht="13.95" customHeight="1" x14ac:dyDescent="0.3">
      <c r="A8" s="42" t="s">
        <v>35</v>
      </c>
      <c r="B8" s="42"/>
      <c r="C8" s="42"/>
      <c r="D8" s="42"/>
      <c r="E8" s="42"/>
      <c r="F8" s="42"/>
      <c r="G8" s="42"/>
      <c r="I8" t="str">
        <f>IF(OR($C$21="Hostels — with attached toilets",$C$21="Hostels — with common toilets"),"Hostels",$C$21)</f>
        <v>Offices/Colleges</v>
      </c>
    </row>
    <row r="9" spans="1:9" ht="13.95" customHeight="1" x14ac:dyDescent="0.3">
      <c r="A9" s="43"/>
      <c r="B9" s="44" t="s">
        <v>36</v>
      </c>
      <c r="C9" s="43"/>
      <c r="D9" s="43"/>
      <c r="E9" s="43"/>
      <c r="F9" s="43"/>
      <c r="G9" s="66">
        <f>$G$70</f>
        <v>0</v>
      </c>
    </row>
    <row r="10" spans="1:9" ht="13.95" customHeight="1" x14ac:dyDescent="0.3">
      <c r="A10" s="43"/>
      <c r="B10" s="44" t="s">
        <v>37</v>
      </c>
      <c r="C10" s="43"/>
      <c r="D10" s="43"/>
      <c r="E10" s="43"/>
      <c r="F10" s="43"/>
      <c r="G10" s="66">
        <f>$G$83</f>
        <v>0</v>
      </c>
    </row>
    <row r="11" spans="1:9" ht="13.95" customHeight="1" x14ac:dyDescent="0.3">
      <c r="A11" s="43"/>
      <c r="B11" s="44" t="s">
        <v>38</v>
      </c>
      <c r="C11" s="43"/>
      <c r="D11" s="43"/>
      <c r="E11" s="43"/>
      <c r="F11" s="43"/>
      <c r="G11" s="66">
        <f>$G$90</f>
        <v>0</v>
      </c>
    </row>
    <row r="12" spans="1:9" ht="13.95" customHeight="1" x14ac:dyDescent="0.3">
      <c r="A12" s="43"/>
      <c r="B12" s="44" t="s">
        <v>39</v>
      </c>
      <c r="C12" s="43"/>
      <c r="D12" s="43"/>
      <c r="E12" s="43"/>
      <c r="F12" s="43"/>
      <c r="G12" s="66">
        <f>$G$100</f>
        <v>0</v>
      </c>
    </row>
    <row r="13" spans="1:9" ht="13.95" customHeight="1" x14ac:dyDescent="0.3">
      <c r="A13" s="43"/>
      <c r="B13" s="44" t="s">
        <v>40</v>
      </c>
      <c r="C13" s="43"/>
      <c r="D13" s="43"/>
      <c r="E13" s="43"/>
      <c r="F13" s="43"/>
      <c r="G13" s="66">
        <f>$G$106</f>
        <v>0</v>
      </c>
    </row>
    <row r="14" spans="1:9" ht="13.95" customHeight="1" x14ac:dyDescent="0.3">
      <c r="A14" s="43"/>
      <c r="B14" s="44" t="s">
        <v>41</v>
      </c>
      <c r="C14" s="43"/>
      <c r="D14" s="43"/>
      <c r="E14" s="43"/>
      <c r="F14" s="43"/>
      <c r="G14" s="66">
        <f>$G$125</f>
        <v>0</v>
      </c>
    </row>
    <row r="15" spans="1:9" ht="13.95" customHeight="1" x14ac:dyDescent="0.3">
      <c r="A15" s="43"/>
      <c r="B15" s="44" t="s">
        <v>42</v>
      </c>
      <c r="C15" s="43"/>
      <c r="D15" s="43"/>
      <c r="E15" s="43"/>
      <c r="F15" s="43"/>
      <c r="G15" s="66">
        <f>$G$179</f>
        <v>0</v>
      </c>
    </row>
    <row r="16" spans="1:9" x14ac:dyDescent="0.3">
      <c r="A16" s="57" t="s">
        <v>43</v>
      </c>
      <c r="B16" s="27"/>
      <c r="C16" s="27"/>
      <c r="D16" s="27"/>
      <c r="E16" s="27"/>
      <c r="F16" s="27"/>
      <c r="G16" s="58">
        <f>$G$189</f>
        <v>0</v>
      </c>
    </row>
    <row r="17" spans="1:7" x14ac:dyDescent="0.3">
      <c r="B17" s="62" t="s">
        <v>44</v>
      </c>
      <c r="G17" s="67">
        <f>$G$190</f>
        <v>0</v>
      </c>
    </row>
    <row r="19" spans="1:7" ht="16.95" customHeight="1" x14ac:dyDescent="0.3">
      <c r="A19" s="40" t="s">
        <v>45</v>
      </c>
      <c r="B19" s="40"/>
      <c r="C19" s="40"/>
      <c r="D19" s="40"/>
      <c r="E19" s="40"/>
      <c r="F19" s="40"/>
      <c r="G19" s="40"/>
    </row>
    <row r="20" spans="1:7" ht="13.05" customHeight="1" x14ac:dyDescent="0.3">
      <c r="A20" s="45"/>
      <c r="B20" s="45" t="s">
        <v>46</v>
      </c>
      <c r="C20" s="45" t="s">
        <v>4</v>
      </c>
      <c r="D20" s="45"/>
      <c r="E20" s="45" t="s">
        <v>47</v>
      </c>
      <c r="F20" s="45"/>
      <c r="G20" s="45"/>
    </row>
    <row r="21" spans="1:7" ht="15" customHeight="1" x14ac:dyDescent="0.3">
      <c r="B21" s="46" t="s">
        <v>48</v>
      </c>
      <c r="C21" s="47" t="s">
        <v>49</v>
      </c>
    </row>
    <row r="22" spans="1:7" ht="15" customHeight="1" x14ac:dyDescent="0.3">
      <c r="B22" s="46" t="s">
        <v>50</v>
      </c>
      <c r="C22" s="47" t="s">
        <v>51</v>
      </c>
    </row>
    <row r="23" spans="1:7" ht="15" customHeight="1" x14ac:dyDescent="0.3">
      <c r="B23" s="46" t="s">
        <v>52</v>
      </c>
      <c r="C23" s="48">
        <v>3.6</v>
      </c>
      <c r="E23" s="49" t="s">
        <v>53</v>
      </c>
    </row>
    <row r="24" spans="1:7" ht="15" customHeight="1" x14ac:dyDescent="0.3">
      <c r="B24" s="46" t="s">
        <v>54</v>
      </c>
      <c r="C24" s="48">
        <v>3.6</v>
      </c>
      <c r="E24" s="49" t="s">
        <v>53</v>
      </c>
    </row>
    <row r="25" spans="1:7" ht="15" customHeight="1" x14ac:dyDescent="0.3">
      <c r="B25" s="46" t="s">
        <v>55</v>
      </c>
      <c r="C25" s="50">
        <v>1</v>
      </c>
    </row>
    <row r="26" spans="1:7" ht="15" customHeight="1" x14ac:dyDescent="0.3">
      <c r="B26" s="46" t="s">
        <v>56</v>
      </c>
      <c r="C26" s="51">
        <v>0</v>
      </c>
      <c r="E26" s="49" t="s">
        <v>57</v>
      </c>
    </row>
    <row r="27" spans="1:7" ht="15" customHeight="1" x14ac:dyDescent="0.3">
      <c r="B27" s="46" t="s">
        <v>58</v>
      </c>
      <c r="C27" s="51">
        <v>0</v>
      </c>
      <c r="E27" s="49" t="s">
        <v>57</v>
      </c>
    </row>
    <row r="28" spans="1:7" ht="15" customHeight="1" x14ac:dyDescent="0.3">
      <c r="B28" s="46" t="s">
        <v>59</v>
      </c>
      <c r="C28" s="51">
        <v>0</v>
      </c>
      <c r="E28" s="49" t="s">
        <v>57</v>
      </c>
    </row>
    <row r="29" spans="1:7" ht="15" customHeight="1" x14ac:dyDescent="0.3"/>
    <row r="30" spans="1:7" ht="16.95" customHeight="1" x14ac:dyDescent="0.3">
      <c r="A30" s="40" t="s">
        <v>60</v>
      </c>
      <c r="B30" s="40"/>
      <c r="C30" s="40"/>
      <c r="D30" s="40"/>
      <c r="E30" s="40"/>
      <c r="F30" s="40"/>
      <c r="G30" s="40"/>
    </row>
    <row r="31" spans="1:7" ht="13.05" customHeight="1" x14ac:dyDescent="0.3">
      <c r="A31" s="45"/>
      <c r="B31" s="45" t="s">
        <v>46</v>
      </c>
      <c r="C31" s="45" t="s">
        <v>61</v>
      </c>
      <c r="D31" s="45" t="s">
        <v>62</v>
      </c>
      <c r="E31" s="45" t="s">
        <v>47</v>
      </c>
      <c r="F31" s="45" t="s">
        <v>63</v>
      </c>
      <c r="G31" s="45" t="s">
        <v>64</v>
      </c>
    </row>
    <row r="32" spans="1:7" ht="15" customHeight="1" x14ac:dyDescent="0.3">
      <c r="B32" s="46" t="s">
        <v>65</v>
      </c>
      <c r="E32" s="49" t="s">
        <v>66</v>
      </c>
      <c r="F32" s="52">
        <f>IF(SUMPRODUCT((EXACT('01 Building Cost'!$B$5:$B$40,$I$4))*(EXACT('01 Building Cost'!$C$5:$C$40,$I$6))*(EXACT('01 Building Cost'!$D$5:$D$40,$I$2))*('01 Building Cost'!$F$5:$F$40&lt;&gt;""))=0,"N/A",SUMPRODUCT((EXACT('01 Building Cost'!$B$5:$B$40,$I$4))*(EXACT('01 Building Cost'!$C$5:$C$40,$I$6))*(EXACT('01 Building Cost'!$D$5:$D$40,$I$2))*'01 Building Cost'!$F$5:$F$40))</f>
        <v>30920</v>
      </c>
    </row>
    <row r="33" spans="1:7" ht="15" customHeight="1" x14ac:dyDescent="0.3">
      <c r="B33" s="46" t="s">
        <v>67</v>
      </c>
      <c r="G33" s="53">
        <f>IF(ISNUMBER($F$32),$F$32*$C$27,0)</f>
        <v>0</v>
      </c>
    </row>
    <row r="34" spans="1:7" ht="15" customHeight="1" x14ac:dyDescent="0.3"/>
    <row r="35" spans="1:7" ht="16.95" customHeight="1" x14ac:dyDescent="0.3">
      <c r="A35" s="40" t="s">
        <v>68</v>
      </c>
      <c r="B35" s="40"/>
      <c r="C35" s="40"/>
      <c r="D35" s="40"/>
      <c r="E35" s="40"/>
      <c r="F35" s="40"/>
      <c r="G35" s="40"/>
    </row>
    <row r="36" spans="1:7" ht="13.05" customHeight="1" x14ac:dyDescent="0.3">
      <c r="A36" s="45" t="s">
        <v>69</v>
      </c>
      <c r="B36" s="45" t="s">
        <v>70</v>
      </c>
      <c r="C36" s="45" t="s">
        <v>71</v>
      </c>
      <c r="D36" s="45" t="s">
        <v>72</v>
      </c>
      <c r="E36" s="45" t="s">
        <v>47</v>
      </c>
      <c r="F36" s="45" t="s">
        <v>73</v>
      </c>
      <c r="G36" s="45" t="s">
        <v>64</v>
      </c>
    </row>
    <row r="37" spans="1:7" ht="15" customHeight="1" outlineLevel="1" x14ac:dyDescent="0.3">
      <c r="A37" s="62" t="s">
        <v>74</v>
      </c>
      <c r="B37" s="54" t="str">
        <f>7&amp;"-"&amp;12</f>
        <v>7-12</v>
      </c>
      <c r="C37" s="55">
        <f>MAX(0,MIN($C$25,12)-7+1)</f>
        <v>0</v>
      </c>
      <c r="D37" s="56">
        <f t="shared" ref="D37:D46" si="0">IF($C$25=0,0,C37*($C$27/$C$25))</f>
        <v>0</v>
      </c>
      <c r="F37" s="52">
        <f>'01 Building Cost'!$F$21*1</f>
        <v>123</v>
      </c>
      <c r="G37" s="53">
        <f t="shared" ref="G37:G46" si="1">IF(C37=0,0,F37*D37)</f>
        <v>0</v>
      </c>
    </row>
    <row r="38" spans="1:7" ht="15" customHeight="1" outlineLevel="1" x14ac:dyDescent="0.3">
      <c r="A38" s="62" t="s">
        <v>75</v>
      </c>
      <c r="B38" s="54" t="str">
        <f>13&amp;"-"&amp;18</f>
        <v>13-18</v>
      </c>
      <c r="C38" s="55">
        <f>MAX(0,MIN($C$25,18)-13+1)</f>
        <v>0</v>
      </c>
      <c r="D38" s="56">
        <f t="shared" si="0"/>
        <v>0</v>
      </c>
      <c r="F38" s="52">
        <f>'01 Building Cost'!$F$21*2</f>
        <v>246</v>
      </c>
      <c r="G38" s="53">
        <f t="shared" si="1"/>
        <v>0</v>
      </c>
    </row>
    <row r="39" spans="1:7" ht="15" customHeight="1" outlineLevel="1" x14ac:dyDescent="0.3">
      <c r="A39" s="62" t="s">
        <v>76</v>
      </c>
      <c r="B39" s="54" t="str">
        <f>19&amp;"-"&amp;24</f>
        <v>19-24</v>
      </c>
      <c r="C39" s="55">
        <f>MAX(0,MIN($C$25,24)-19+1)</f>
        <v>0</v>
      </c>
      <c r="D39" s="56">
        <f t="shared" si="0"/>
        <v>0</v>
      </c>
      <c r="F39" s="52">
        <f>'01 Building Cost'!$F$21*3</f>
        <v>369</v>
      </c>
      <c r="G39" s="53">
        <f t="shared" si="1"/>
        <v>0</v>
      </c>
    </row>
    <row r="40" spans="1:7" ht="15" customHeight="1" outlineLevel="1" x14ac:dyDescent="0.3">
      <c r="A40" s="62" t="s">
        <v>77</v>
      </c>
      <c r="B40" s="54" t="str">
        <f>25&amp;"-"&amp;30</f>
        <v>25-30</v>
      </c>
      <c r="C40" s="55">
        <f>MAX(0,MIN($C$25,30)-25+1)</f>
        <v>0</v>
      </c>
      <c r="D40" s="56">
        <f t="shared" si="0"/>
        <v>0</v>
      </c>
      <c r="F40" s="52">
        <f>'01 Building Cost'!$F$21*4</f>
        <v>492</v>
      </c>
      <c r="G40" s="53">
        <f t="shared" si="1"/>
        <v>0</v>
      </c>
    </row>
    <row r="41" spans="1:7" ht="15" customHeight="1" outlineLevel="1" x14ac:dyDescent="0.3">
      <c r="A41" s="62" t="s">
        <v>78</v>
      </c>
      <c r="B41" s="54" t="str">
        <f>31&amp;"-"&amp;36</f>
        <v>31-36</v>
      </c>
      <c r="C41" s="55">
        <f>MAX(0,MIN($C$25,36)-31+1)</f>
        <v>0</v>
      </c>
      <c r="D41" s="56">
        <f t="shared" si="0"/>
        <v>0</v>
      </c>
      <c r="F41" s="52">
        <f>'01 Building Cost'!$F$21*5</f>
        <v>615</v>
      </c>
      <c r="G41" s="53">
        <f t="shared" si="1"/>
        <v>0</v>
      </c>
    </row>
    <row r="42" spans="1:7" ht="15" customHeight="1" outlineLevel="1" x14ac:dyDescent="0.3">
      <c r="A42" s="62" t="s">
        <v>79</v>
      </c>
      <c r="B42" s="54" t="str">
        <f>37&amp;"-"&amp;42</f>
        <v>37-42</v>
      </c>
      <c r="C42" s="55">
        <f>MAX(0,MIN($C$25,42)-37+1)</f>
        <v>0</v>
      </c>
      <c r="D42" s="56">
        <f t="shared" si="0"/>
        <v>0</v>
      </c>
      <c r="F42" s="52">
        <f>'01 Building Cost'!$F$21*6</f>
        <v>738</v>
      </c>
      <c r="G42" s="53">
        <f t="shared" si="1"/>
        <v>0</v>
      </c>
    </row>
    <row r="43" spans="1:7" ht="15" customHeight="1" outlineLevel="1" x14ac:dyDescent="0.3">
      <c r="A43" s="62" t="s">
        <v>80</v>
      </c>
      <c r="B43" s="54" t="str">
        <f>43&amp;"-"&amp;48</f>
        <v>43-48</v>
      </c>
      <c r="C43" s="55">
        <f>MAX(0,MIN($C$25,48)-43+1)</f>
        <v>0</v>
      </c>
      <c r="D43" s="56">
        <f t="shared" si="0"/>
        <v>0</v>
      </c>
      <c r="F43" s="52">
        <f>'01 Building Cost'!$F$21*7</f>
        <v>861</v>
      </c>
      <c r="G43" s="53">
        <f t="shared" si="1"/>
        <v>0</v>
      </c>
    </row>
    <row r="44" spans="1:7" ht="15" customHeight="1" outlineLevel="1" x14ac:dyDescent="0.3">
      <c r="A44" s="62" t="s">
        <v>81</v>
      </c>
      <c r="B44" s="54" t="str">
        <f>49&amp;"-"&amp;54</f>
        <v>49-54</v>
      </c>
      <c r="C44" s="55">
        <f>MAX(0,MIN($C$25,54)-49+1)</f>
        <v>0</v>
      </c>
      <c r="D44" s="56">
        <f t="shared" si="0"/>
        <v>0</v>
      </c>
      <c r="F44" s="52">
        <f>'01 Building Cost'!$F$21*8</f>
        <v>984</v>
      </c>
      <c r="G44" s="53">
        <f t="shared" si="1"/>
        <v>0</v>
      </c>
    </row>
    <row r="45" spans="1:7" ht="15" customHeight="1" outlineLevel="1" x14ac:dyDescent="0.3">
      <c r="A45" s="62" t="s">
        <v>82</v>
      </c>
      <c r="B45" s="54" t="str">
        <f>55&amp;"-"&amp;60</f>
        <v>55-60</v>
      </c>
      <c r="C45" s="55">
        <f>MAX(0,MIN($C$25,60)-55+1)</f>
        <v>0</v>
      </c>
      <c r="D45" s="56">
        <f t="shared" si="0"/>
        <v>0</v>
      </c>
      <c r="F45" s="52">
        <f>'01 Building Cost'!$F$21*9</f>
        <v>1107</v>
      </c>
      <c r="G45" s="53">
        <f t="shared" si="1"/>
        <v>0</v>
      </c>
    </row>
    <row r="46" spans="1:7" ht="15" customHeight="1" outlineLevel="1" x14ac:dyDescent="0.3">
      <c r="A46" s="62" t="s">
        <v>83</v>
      </c>
      <c r="B46" s="54" t="str">
        <f>61&amp;"-"&amp;66</f>
        <v>61-66</v>
      </c>
      <c r="C46" s="55">
        <f>MAX(0,MIN($C$25,66)-61+1)</f>
        <v>0</v>
      </c>
      <c r="D46" s="56">
        <f t="shared" si="0"/>
        <v>0</v>
      </c>
      <c r="F46" s="52">
        <f>'01 Building Cost'!$F$21*10</f>
        <v>1230</v>
      </c>
      <c r="G46" s="53">
        <f t="shared" si="1"/>
        <v>0</v>
      </c>
    </row>
    <row r="47" spans="1:7" ht="15" customHeight="1" x14ac:dyDescent="0.3">
      <c r="A47" s="57" t="s">
        <v>84</v>
      </c>
      <c r="B47" s="27"/>
      <c r="C47" s="27"/>
      <c r="D47" s="27"/>
      <c r="E47" s="27"/>
      <c r="F47" s="27"/>
      <c r="G47" s="58">
        <f>SUM(G37:G46)</f>
        <v>0</v>
      </c>
    </row>
    <row r="48" spans="1:7" ht="15" customHeight="1" x14ac:dyDescent="0.3"/>
    <row r="49" spans="1:7" ht="16.95" customHeight="1" x14ac:dyDescent="0.3">
      <c r="A49" s="40" t="s">
        <v>85</v>
      </c>
      <c r="B49" s="40"/>
      <c r="C49" s="40"/>
      <c r="D49" s="40"/>
      <c r="E49" s="40"/>
      <c r="F49" s="40"/>
      <c r="G49" s="40"/>
    </row>
    <row r="50" spans="1:7" ht="13.05" customHeight="1" x14ac:dyDescent="0.3">
      <c r="A50" s="45" t="s">
        <v>86</v>
      </c>
      <c r="B50" s="45" t="s">
        <v>46</v>
      </c>
      <c r="C50" s="45" t="s">
        <v>87</v>
      </c>
      <c r="D50" s="45" t="s">
        <v>88</v>
      </c>
      <c r="E50" s="45" t="s">
        <v>47</v>
      </c>
      <c r="F50" s="45" t="s">
        <v>63</v>
      </c>
      <c r="G50" s="45" t="s">
        <v>64</v>
      </c>
    </row>
    <row r="51" spans="1:7" ht="13.95" customHeight="1" x14ac:dyDescent="0.3">
      <c r="A51" s="42" t="s">
        <v>89</v>
      </c>
      <c r="B51" s="42"/>
      <c r="C51" s="42"/>
      <c r="D51" s="42"/>
      <c r="E51" s="42"/>
      <c r="F51" s="42"/>
      <c r="G51" s="42"/>
    </row>
    <row r="52" spans="1:7" ht="15" customHeight="1" outlineLevel="1" x14ac:dyDescent="0.3">
      <c r="A52" s="62" t="s">
        <v>90</v>
      </c>
      <c r="B52" s="46" t="s">
        <v>91</v>
      </c>
      <c r="D52" s="56">
        <f>$C$27</f>
        <v>0</v>
      </c>
      <c r="E52" s="49" t="s">
        <v>66</v>
      </c>
      <c r="F52" s="59" t="str">
        <f>'01 Building Cost'!C22</f>
        <v>Every 0.3 metre or part thereof, additional / less height of floor above normal floor height of 3.60 metre / 3.00 metre</v>
      </c>
      <c r="G52" s="53">
        <f>IF(($C$24-$C$23)&gt;=0,1,-1)*ROUNDUP(ABS(($C$24-$C$23))/0.3,0)*'01 Building Cost'!$F$22*D52</f>
        <v>0</v>
      </c>
    </row>
    <row r="53" spans="1:7" ht="15" customHeight="1" outlineLevel="1" x14ac:dyDescent="0.3">
      <c r="A53" s="62" t="s">
        <v>92</v>
      </c>
      <c r="B53" s="46" t="s">
        <v>93</v>
      </c>
      <c r="C53" s="48">
        <v>0.6</v>
      </c>
      <c r="D53" s="53">
        <f t="shared" ref="D53:D58" si="2">$C$26</f>
        <v>0</v>
      </c>
      <c r="E53" s="49" t="s">
        <v>94</v>
      </c>
      <c r="F53" s="59" t="str">
        <f>'01 Building Cost'!C23</f>
        <v>Every 0.3 metre or part thereof, higher plinth height over normal plinth height of 0.60 metre (ground floor area only)</v>
      </c>
      <c r="G53" s="53">
        <f>IF(($C$53-0.6)&gt;=0,1,-1)*ROUNDUP(ABS(($C$53-0.6))/0.3,0)*'01 Building Cost'!$F$23*D53</f>
        <v>0</v>
      </c>
    </row>
    <row r="54" spans="1:7" ht="15" customHeight="1" outlineLevel="1" x14ac:dyDescent="0.3">
      <c r="A54" s="62" t="s">
        <v>95</v>
      </c>
      <c r="B54" s="46" t="s">
        <v>96</v>
      </c>
      <c r="C54" s="48">
        <v>1.2</v>
      </c>
      <c r="D54" s="53">
        <f t="shared" si="2"/>
        <v>0</v>
      </c>
      <c r="E54" s="49" t="s">
        <v>97</v>
      </c>
      <c r="F54" s="59" t="str">
        <f>'01 Building Cost'!C24</f>
        <v>Every 0.30 metre or part thereof, deeper foundations over normal depth of 1.20 metre (ground floor area only)</v>
      </c>
      <c r="G54" s="53">
        <f>IF(($C$54-1.2)&gt;=0,1,-1)*ROUNDUP(ABS(($C$54-1.2))/0.3,0)*'01 Building Cost'!$F$24*D54</f>
        <v>0</v>
      </c>
    </row>
    <row r="55" spans="1:7" ht="15" customHeight="1" outlineLevel="1" x14ac:dyDescent="0.3">
      <c r="A55" s="62" t="s">
        <v>98</v>
      </c>
      <c r="B55" s="46" t="s">
        <v>99</v>
      </c>
      <c r="C55" s="47" t="s">
        <v>100</v>
      </c>
      <c r="D55" s="53">
        <f t="shared" si="2"/>
        <v>0</v>
      </c>
      <c r="F55" s="52">
        <f>IF($C$22="RCC Framed",'01 Building Cost'!$F$25,'01 Building Cost'!$F$26)</f>
        <v>1800</v>
      </c>
      <c r="G55" s="53">
        <f>IF($C$55="Yes",F55*D55,0)</f>
        <v>0</v>
      </c>
    </row>
    <row r="56" spans="1:7" ht="15" customHeight="1" outlineLevel="1" x14ac:dyDescent="0.3">
      <c r="A56" s="62" t="s">
        <v>101</v>
      </c>
      <c r="B56" s="46" t="s">
        <v>102</v>
      </c>
      <c r="C56" s="47" t="s">
        <v>100</v>
      </c>
      <c r="D56" s="53">
        <f t="shared" si="2"/>
        <v>0</v>
      </c>
      <c r="F56" s="52">
        <f>'01 Building Cost'!$F$27</f>
        <v>12765</v>
      </c>
      <c r="G56" s="53">
        <f>IF($C$56="Yes",F56*D56,0)</f>
        <v>0</v>
      </c>
    </row>
    <row r="57" spans="1:7" ht="15" customHeight="1" outlineLevel="1" x14ac:dyDescent="0.3">
      <c r="A57" s="62" t="s">
        <v>103</v>
      </c>
      <c r="B57" s="46" t="s">
        <v>104</v>
      </c>
      <c r="C57" s="47" t="s">
        <v>100</v>
      </c>
      <c r="D57" s="53">
        <f t="shared" si="2"/>
        <v>0</v>
      </c>
      <c r="F57" s="52">
        <f>'01 Building Cost'!$F$28</f>
        <v>22240</v>
      </c>
      <c r="G57" s="53">
        <f>IF($C$57="Yes",F57*D57,0)</f>
        <v>0</v>
      </c>
    </row>
    <row r="58" spans="1:7" ht="15" customHeight="1" outlineLevel="1" x14ac:dyDescent="0.3">
      <c r="A58" s="62" t="s">
        <v>105</v>
      </c>
      <c r="B58" s="46" t="s">
        <v>106</v>
      </c>
      <c r="C58" s="48">
        <v>15</v>
      </c>
      <c r="D58" s="53">
        <f t="shared" si="2"/>
        <v>0</v>
      </c>
      <c r="E58" s="49" t="s">
        <v>97</v>
      </c>
      <c r="F58" s="52">
        <f>'01 Building Cost'!$F$29</f>
        <v>2265</v>
      </c>
      <c r="G58" s="53">
        <f>IF($C$57="Yes",ROUNDUP(MAX(0,$C$58-15),0)*F58*D58,0)</f>
        <v>0</v>
      </c>
    </row>
    <row r="59" spans="1:7" ht="15" customHeight="1" outlineLevel="1" x14ac:dyDescent="0.3">
      <c r="A59" s="62" t="s">
        <v>107</v>
      </c>
      <c r="B59" s="46" t="s">
        <v>108</v>
      </c>
      <c r="C59" s="47" t="s">
        <v>100</v>
      </c>
      <c r="D59" s="56">
        <f>$C$27</f>
        <v>0</v>
      </c>
      <c r="F59" s="52">
        <f>'01 Building Cost'!$F$30</f>
        <v>2070</v>
      </c>
      <c r="G59" s="53">
        <f>IF($C$59="Yes",F59*D59,0)</f>
        <v>0</v>
      </c>
    </row>
    <row r="60" spans="1:7" ht="13.95" customHeight="1" x14ac:dyDescent="0.3">
      <c r="A60" s="42" t="s">
        <v>109</v>
      </c>
      <c r="B60" s="42"/>
      <c r="C60" s="42"/>
      <c r="D60" s="42"/>
      <c r="E60" s="42"/>
      <c r="F60" s="42"/>
      <c r="G60" s="42"/>
    </row>
    <row r="61" spans="1:7" ht="15" customHeight="1" outlineLevel="1" x14ac:dyDescent="0.3">
      <c r="A61" s="62" t="s">
        <v>110</v>
      </c>
      <c r="B61" s="46" t="s">
        <v>111</v>
      </c>
      <c r="C61" s="47" t="s">
        <v>100</v>
      </c>
      <c r="D61" s="56">
        <v>0</v>
      </c>
      <c r="E61" s="49" t="s">
        <v>112</v>
      </c>
      <c r="F61" s="52">
        <f>'01 Building Cost'!$F$31</f>
        <v>23170</v>
      </c>
      <c r="G61" s="53">
        <f>IF($C$61="Yes",F61*D61,0)</f>
        <v>0</v>
      </c>
    </row>
    <row r="62" spans="1:7" ht="15" customHeight="1" outlineLevel="1" x14ac:dyDescent="0.3">
      <c r="A62" s="62" t="s">
        <v>113</v>
      </c>
      <c r="B62" s="46" t="s">
        <v>114</v>
      </c>
      <c r="C62" s="48">
        <v>3.35</v>
      </c>
      <c r="D62" s="53">
        <f>$D$61</f>
        <v>0</v>
      </c>
      <c r="E62" s="49" t="s">
        <v>94</v>
      </c>
      <c r="F62" s="59" t="str">
        <f>'01 Building Cost'!C32</f>
        <v>Add or deduct for every 0.30 metre, or part thereof, height against normal height of 3.35 metre</v>
      </c>
      <c r="G62" s="53">
        <f>IF($C$61="Yes",IF(($C$62-3.35)&gt;=0,1,-1)*ROUNDUP(ABS(($C$62-3.35))/0.3,0)*'01 Building Cost'!$F$32*D62,0)</f>
        <v>0</v>
      </c>
    </row>
    <row r="63" spans="1:7" ht="15" customHeight="1" outlineLevel="1" x14ac:dyDescent="0.3">
      <c r="A63" s="62" t="s">
        <v>115</v>
      </c>
      <c r="B63" s="46" t="s">
        <v>116</v>
      </c>
      <c r="C63" s="47" t="s">
        <v>100</v>
      </c>
      <c r="D63" s="56">
        <f>$D$61</f>
        <v>0</v>
      </c>
      <c r="F63" s="52">
        <f>'01 Building Cost'!$F$38</f>
        <v>1050</v>
      </c>
      <c r="G63" s="53">
        <f>IF(AND($C$61="Yes",$C$63="Yes"),F63*D63,0)</f>
        <v>0</v>
      </c>
    </row>
    <row r="64" spans="1:7" ht="13.95" customHeight="1" x14ac:dyDescent="0.3">
      <c r="A64" s="42" t="s">
        <v>117</v>
      </c>
      <c r="B64" s="42"/>
      <c r="C64" s="42"/>
      <c r="D64" s="42"/>
      <c r="E64" s="42"/>
      <c r="F64" s="42"/>
      <c r="G64" s="42"/>
    </row>
    <row r="65" spans="1:7" ht="15" customHeight="1" outlineLevel="1" x14ac:dyDescent="0.3">
      <c r="A65" s="62" t="s">
        <v>118</v>
      </c>
      <c r="B65" s="46" t="s">
        <v>119</v>
      </c>
      <c r="C65" s="47" t="s">
        <v>100</v>
      </c>
      <c r="D65" s="56">
        <v>0</v>
      </c>
      <c r="E65" s="49" t="s">
        <v>112</v>
      </c>
      <c r="F65" s="52">
        <f>'01 Building Cost'!$F$39</f>
        <v>9870</v>
      </c>
      <c r="G65" s="53">
        <f>IF($C$65="Yes",F65*D65,0)</f>
        <v>0</v>
      </c>
    </row>
    <row r="66" spans="1:7" ht="15" customHeight="1" outlineLevel="1" x14ac:dyDescent="0.3">
      <c r="A66" s="62" t="s">
        <v>120</v>
      </c>
      <c r="B66" s="46" t="s">
        <v>121</v>
      </c>
      <c r="C66" s="48">
        <v>3.6</v>
      </c>
      <c r="D66" s="53">
        <f>$D$65</f>
        <v>0</v>
      </c>
      <c r="E66" s="49" t="s">
        <v>94</v>
      </c>
      <c r="F66" s="52">
        <f>'01 Building Cost'!$F$40</f>
        <v>235</v>
      </c>
      <c r="G66" s="53">
        <f>IF($C$65="Yes",ROUNDUP(MAX(0,$C$66-3.6)/0.3,0)*F66*D66,0)</f>
        <v>0</v>
      </c>
    </row>
    <row r="67" spans="1:7" ht="15" customHeight="1" x14ac:dyDescent="0.3">
      <c r="A67" s="62" t="s">
        <v>122</v>
      </c>
      <c r="B67" s="46" t="s">
        <v>123</v>
      </c>
      <c r="C67" s="47" t="s">
        <v>124</v>
      </c>
      <c r="D67" s="53">
        <f>$C$27</f>
        <v>0</v>
      </c>
      <c r="F67" s="52">
        <f>IF($C$67="Downcomer System",'01 Building Cost'!$F$33,IF($C$67="Wet riser system",'01 Building Cost'!$F$34,IF($C$67="Wet riser and sprinkler system",'01 Building Cost'!$F$35,0)))</f>
        <v>0</v>
      </c>
      <c r="G67" s="53">
        <f>F67*D67</f>
        <v>0</v>
      </c>
    </row>
    <row r="68" spans="1:7" ht="15" customHeight="1" x14ac:dyDescent="0.3">
      <c r="A68" s="62" t="s">
        <v>125</v>
      </c>
      <c r="B68" s="46" t="s">
        <v>126</v>
      </c>
      <c r="C68" s="47" t="s">
        <v>124</v>
      </c>
      <c r="D68" s="53">
        <f>$C$27</f>
        <v>0</v>
      </c>
      <c r="F68" s="52">
        <f>IF($C$68="Manual fire alarm system",'01 Building Cost'!$F$36,IF($C$68="Automatic fire alarm system",'01 Building Cost'!$F$37,0))</f>
        <v>0</v>
      </c>
      <c r="G68" s="53">
        <f>F68*D68</f>
        <v>0</v>
      </c>
    </row>
    <row r="69" spans="1:7" ht="15" customHeight="1" x14ac:dyDescent="0.3"/>
    <row r="70" spans="1:7" ht="15" customHeight="1" x14ac:dyDescent="0.3">
      <c r="A70" s="57" t="s">
        <v>127</v>
      </c>
      <c r="B70" s="27"/>
      <c r="C70" s="27"/>
      <c r="D70" s="27"/>
      <c r="E70" s="27"/>
      <c r="F70" s="27"/>
      <c r="G70" s="58">
        <f>$G$33+$G$47+$G$52+$G$53+$G$54+$G$55+$G$56+$G$57+$G$58+$G$59+$G$61+$G$62+$G$63+$G$65+$G$66+$G$67+$G$68</f>
        <v>0</v>
      </c>
    </row>
    <row r="71" spans="1:7" ht="15" customHeight="1" x14ac:dyDescent="0.3">
      <c r="B71" s="62" t="s">
        <v>128</v>
      </c>
      <c r="G71" s="60">
        <f>$G$70-($G$54+$G$55+$G$56+$G$57+$G$58+$G$59+$G$67+$G$68)</f>
        <v>0</v>
      </c>
    </row>
    <row r="72" spans="1:7" ht="15" customHeight="1" x14ac:dyDescent="0.3"/>
    <row r="73" spans="1:7" ht="16.95" customHeight="1" x14ac:dyDescent="0.3">
      <c r="A73" s="40" t="s">
        <v>129</v>
      </c>
      <c r="B73" s="40"/>
      <c r="C73" s="40"/>
      <c r="D73" s="40"/>
      <c r="E73" s="40"/>
      <c r="F73" s="40"/>
      <c r="G73" s="40"/>
    </row>
    <row r="74" spans="1:7" ht="13.05" customHeight="1" x14ac:dyDescent="0.3">
      <c r="A74" s="45" t="s">
        <v>86</v>
      </c>
      <c r="B74" s="45" t="s">
        <v>46</v>
      </c>
      <c r="C74" s="45"/>
      <c r="D74" s="45"/>
      <c r="E74" s="45" t="s">
        <v>47</v>
      </c>
      <c r="F74" s="45" t="s">
        <v>130</v>
      </c>
      <c r="G74" s="45" t="s">
        <v>64</v>
      </c>
    </row>
    <row r="75" spans="1:7" ht="15" customHeight="1" x14ac:dyDescent="0.3">
      <c r="A75" s="62" t="s">
        <v>131</v>
      </c>
      <c r="B75" s="46" t="s">
        <v>132</v>
      </c>
      <c r="F75" s="61">
        <f>SUMPRODUCT((EXACT('02 Services'!$C$5:$C$10,$C$21))*'02 Services'!$E$5:$E$10)/100</f>
        <v>0.04</v>
      </c>
      <c r="G75" s="53">
        <f t="shared" ref="G75:G80" si="3">F75*$G$71</f>
        <v>0</v>
      </c>
    </row>
    <row r="76" spans="1:7" ht="15" customHeight="1" x14ac:dyDescent="0.3">
      <c r="A76" s="62" t="s">
        <v>133</v>
      </c>
      <c r="B76" s="46" t="s">
        <v>134</v>
      </c>
      <c r="F76" s="61">
        <f>'02 Services'!$E$11/100</f>
        <v>3.7499999999999999E-2</v>
      </c>
      <c r="G76" s="53">
        <f t="shared" si="3"/>
        <v>0</v>
      </c>
    </row>
    <row r="77" spans="1:7" ht="15" customHeight="1" x14ac:dyDescent="0.3">
      <c r="A77" s="62" t="s">
        <v>135</v>
      </c>
      <c r="B77" s="46" t="s">
        <v>136</v>
      </c>
      <c r="F77" s="61">
        <f>'02 Services'!$E$12/100</f>
        <v>1.2500000000000001E-2</v>
      </c>
      <c r="G77" s="53">
        <f t="shared" si="3"/>
        <v>0</v>
      </c>
    </row>
    <row r="78" spans="1:7" ht="15" customHeight="1" x14ac:dyDescent="0.3">
      <c r="A78" s="62" t="s">
        <v>137</v>
      </c>
      <c r="B78" s="46" t="s">
        <v>138</v>
      </c>
      <c r="F78" s="61">
        <f>'02 Services'!$E$13/100</f>
        <v>1.2500000000000001E-2</v>
      </c>
      <c r="G78" s="53">
        <f t="shared" si="3"/>
        <v>0</v>
      </c>
    </row>
    <row r="79" spans="1:7" ht="15" customHeight="1" x14ac:dyDescent="0.3">
      <c r="A79" s="62" t="s">
        <v>139</v>
      </c>
      <c r="B79" s="46" t="s">
        <v>140</v>
      </c>
      <c r="F79" s="61">
        <f>'02 Services'!$E$14/100</f>
        <v>0.125</v>
      </c>
      <c r="G79" s="53">
        <f t="shared" si="3"/>
        <v>0</v>
      </c>
    </row>
    <row r="80" spans="1:7" ht="15" customHeight="1" x14ac:dyDescent="0.3">
      <c r="A80" s="62" t="s">
        <v>141</v>
      </c>
      <c r="B80" s="46" t="s">
        <v>142</v>
      </c>
      <c r="F80" s="61">
        <f>'02 Services'!$E$15/100</f>
        <v>0.04</v>
      </c>
      <c r="G80" s="53">
        <f t="shared" si="3"/>
        <v>0</v>
      </c>
    </row>
    <row r="81" spans="1:7" ht="15" customHeight="1" x14ac:dyDescent="0.3">
      <c r="A81" s="62" t="s">
        <v>143</v>
      </c>
      <c r="B81" s="46" t="s">
        <v>144</v>
      </c>
      <c r="F81" s="61">
        <f>IF(SUMPRODUCT((EXACT('02 Services'!$C$16:$C$20,$I$8))*('02 Services'!$E$16:$E$20&lt;&gt;""))=0,"N/A",SUMPRODUCT((EXACT('02 Services'!$C$16:$C$20,$I$8))*'02 Services'!$E$16:$E$20)/100)</f>
        <v>2.5000000000000001E-3</v>
      </c>
      <c r="G81" s="53">
        <f>IF(ISNUMBER(F81),F81*$G$71,0)</f>
        <v>0</v>
      </c>
    </row>
    <row r="82" spans="1:7" ht="15" customHeight="1" x14ac:dyDescent="0.3">
      <c r="A82" s="62" t="s">
        <v>145</v>
      </c>
      <c r="B82" s="46" t="s">
        <v>146</v>
      </c>
      <c r="F82" s="61">
        <f>IF(SUMPRODUCT((EXACT('02 Services'!$C$21:$C$25,$I$8))*('02 Services'!$E$21:$E$25&lt;&gt;""))=0,"N/A",SUMPRODUCT((EXACT('02 Services'!$C$21:$C$25,$I$8))*'02 Services'!$E$21:$E$25)/100)</f>
        <v>2.5000000000000001E-3</v>
      </c>
      <c r="G82" s="53">
        <f>IF(ISNUMBER(F82),F82*$G$71,0)</f>
        <v>0</v>
      </c>
    </row>
    <row r="83" spans="1:7" ht="15" customHeight="1" x14ac:dyDescent="0.3">
      <c r="A83" s="57" t="s">
        <v>147</v>
      </c>
      <c r="B83" s="27"/>
      <c r="C83" s="27"/>
      <c r="D83" s="27"/>
      <c r="E83" s="27"/>
      <c r="F83" s="27"/>
      <c r="G83" s="58">
        <f>$G$75+$G$76+$G$77+$G$78+$G$79+$G$80+$G$81+$G$82</f>
        <v>0</v>
      </c>
    </row>
    <row r="84" spans="1:7" ht="15" customHeight="1" x14ac:dyDescent="0.3">
      <c r="B84" s="62" t="s">
        <v>148</v>
      </c>
      <c r="G84" s="60">
        <f>$G$70+$G$83</f>
        <v>0</v>
      </c>
    </row>
    <row r="85" spans="1:7" ht="15" customHeight="1" x14ac:dyDescent="0.3"/>
    <row r="86" spans="1:7" ht="16.95" customHeight="1" x14ac:dyDescent="0.3">
      <c r="A86" s="40" t="s">
        <v>149</v>
      </c>
      <c r="B86" s="40"/>
      <c r="C86" s="40"/>
      <c r="D86" s="40"/>
      <c r="E86" s="40"/>
      <c r="F86" s="40"/>
      <c r="G86" s="40"/>
    </row>
    <row r="87" spans="1:7" ht="13.05" customHeight="1" x14ac:dyDescent="0.3">
      <c r="A87" s="45" t="s">
        <v>86</v>
      </c>
      <c r="B87" s="45" t="s">
        <v>46</v>
      </c>
      <c r="C87" s="45" t="s">
        <v>150</v>
      </c>
      <c r="D87" s="45"/>
      <c r="E87" s="45" t="s">
        <v>47</v>
      </c>
      <c r="F87" s="45" t="s">
        <v>130</v>
      </c>
      <c r="G87" s="45" t="s">
        <v>64</v>
      </c>
    </row>
    <row r="88" spans="1:7" ht="15" customHeight="1" x14ac:dyDescent="0.3">
      <c r="A88" s="62" t="s">
        <v>151</v>
      </c>
      <c r="B88" s="46" t="s">
        <v>152</v>
      </c>
      <c r="C88" s="47" t="s">
        <v>100</v>
      </c>
      <c r="F88" s="61">
        <f>'03 TPQA Consultancy'!$E$5/100</f>
        <v>0.01</v>
      </c>
      <c r="G88" s="53">
        <f>IF($C$88="Yes",F88*$G$84,0)</f>
        <v>0</v>
      </c>
    </row>
    <row r="89" spans="1:7" ht="15" customHeight="1" x14ac:dyDescent="0.3">
      <c r="A89" s="62" t="s">
        <v>153</v>
      </c>
      <c r="B89" s="46" t="s">
        <v>154</v>
      </c>
      <c r="C89" s="47" t="s">
        <v>100</v>
      </c>
      <c r="F89" s="61">
        <f>'03 TPQA Consultancy'!$E$6/100</f>
        <v>1.7500000000000002E-2</v>
      </c>
      <c r="G89" s="53">
        <f>IF($C$89="Yes",F89*$G$84,0)</f>
        <v>0</v>
      </c>
    </row>
    <row r="90" spans="1:7" ht="15" customHeight="1" x14ac:dyDescent="0.3">
      <c r="A90" s="57" t="s">
        <v>155</v>
      </c>
      <c r="B90" s="27"/>
      <c r="C90" s="27"/>
      <c r="D90" s="27"/>
      <c r="E90" s="27"/>
      <c r="F90" s="27"/>
      <c r="G90" s="58">
        <f>$G$88+$G$89</f>
        <v>0</v>
      </c>
    </row>
    <row r="91" spans="1:7" ht="15" customHeight="1" x14ac:dyDescent="0.3"/>
    <row r="92" spans="1:7" ht="16.95" customHeight="1" x14ac:dyDescent="0.3">
      <c r="A92" s="40" t="s">
        <v>156</v>
      </c>
      <c r="B92" s="40"/>
      <c r="C92" s="40"/>
      <c r="D92" s="40"/>
      <c r="E92" s="40"/>
      <c r="F92" s="40"/>
      <c r="G92" s="40"/>
    </row>
    <row r="93" spans="1:7" ht="13.05" customHeight="1" x14ac:dyDescent="0.3">
      <c r="A93" s="45" t="s">
        <v>157</v>
      </c>
      <c r="B93" s="45" t="s">
        <v>158</v>
      </c>
      <c r="C93" s="45" t="s">
        <v>159</v>
      </c>
      <c r="D93" s="45" t="s">
        <v>160</v>
      </c>
      <c r="E93" s="45" t="s">
        <v>161</v>
      </c>
      <c r="F93" s="45" t="s">
        <v>162</v>
      </c>
      <c r="G93" s="45" t="s">
        <v>163</v>
      </c>
    </row>
    <row r="94" spans="1:7" ht="15" customHeight="1" x14ac:dyDescent="0.3">
      <c r="A94" s="47"/>
      <c r="B94" s="50">
        <v>0</v>
      </c>
      <c r="C94" s="50">
        <v>0</v>
      </c>
      <c r="D94" s="55">
        <f>IF($A94="",0,SUMPRODUCT((EXACT('04 Lifts'!$B$5:$B$17&amp;" "&amp;'04 Lifts'!$C$5:$C$17&amp;"-person, "&amp;'04 Lifts'!$D$5:$D$17&amp;" m/s, "&amp;'04 Lifts'!$E$5:$E$17,$A94))*'04 Lifts'!$H$5:$H$17))</f>
        <v>0</v>
      </c>
      <c r="E94" s="55">
        <f t="shared" ref="E94:E99" si="4">IF($A94="",0,MAX(0,$C94-D94))</f>
        <v>0</v>
      </c>
      <c r="F94" s="52">
        <f>IF($A94="",0,SUMPRODUCT((EXACT('04 Lifts'!$B$5:$B$17&amp;" "&amp;'04 Lifts'!$C$5:$C$17&amp;"-person, "&amp;'04 Lifts'!$D$5:$D$17&amp;" m/s, "&amp;'04 Lifts'!$E$5:$E$17,$A94))*'04 Lifts'!$F$5:$F$17)*100000)</f>
        <v>0</v>
      </c>
      <c r="G94" s="53">
        <f>$B94*(F94+E94*IF($A94="",0,SUMPRODUCT((EXACT('04 Lifts'!$B$5:$B$17&amp;" "&amp;'04 Lifts'!$C$5:$C$17&amp;"-person, "&amp;'04 Lifts'!$D$5:$D$17&amp;" m/s, "&amp;'04 Lifts'!$E$5:$E$17,$A94))*'04 Lifts'!$G$5:$G$17)))</f>
        <v>0</v>
      </c>
    </row>
    <row r="95" spans="1:7" ht="15" customHeight="1" x14ac:dyDescent="0.3">
      <c r="A95" s="47"/>
      <c r="B95" s="50">
        <v>0</v>
      </c>
      <c r="C95" s="50">
        <v>0</v>
      </c>
      <c r="D95" s="55">
        <f>IF($A95="",0,SUMPRODUCT((EXACT('04 Lifts'!$B$5:$B$17&amp;" "&amp;'04 Lifts'!$C$5:$C$17&amp;"-person, "&amp;'04 Lifts'!$D$5:$D$17&amp;" m/s, "&amp;'04 Lifts'!$E$5:$E$17,$A95))*'04 Lifts'!$H$5:$H$17))</f>
        <v>0</v>
      </c>
      <c r="E95" s="55">
        <f t="shared" si="4"/>
        <v>0</v>
      </c>
      <c r="F95" s="52">
        <f>IF($A95="",0,SUMPRODUCT((EXACT('04 Lifts'!$B$5:$B$17&amp;" "&amp;'04 Lifts'!$C$5:$C$17&amp;"-person, "&amp;'04 Lifts'!$D$5:$D$17&amp;" m/s, "&amp;'04 Lifts'!$E$5:$E$17,$A95))*'04 Lifts'!$F$5:$F$17)*100000)</f>
        <v>0</v>
      </c>
      <c r="G95" s="53">
        <f>$B95*(F95+E95*IF($A95="",0,SUMPRODUCT((EXACT('04 Lifts'!$B$5:$B$17&amp;" "&amp;'04 Lifts'!$C$5:$C$17&amp;"-person, "&amp;'04 Lifts'!$D$5:$D$17&amp;" m/s, "&amp;'04 Lifts'!$E$5:$E$17,$A95))*'04 Lifts'!$G$5:$G$17)))</f>
        <v>0</v>
      </c>
    </row>
    <row r="96" spans="1:7" ht="15" customHeight="1" x14ac:dyDescent="0.3">
      <c r="A96" s="47"/>
      <c r="B96" s="50">
        <v>0</v>
      </c>
      <c r="C96" s="50">
        <v>0</v>
      </c>
      <c r="D96" s="55">
        <f>IF($A96="",0,SUMPRODUCT((EXACT('04 Lifts'!$B$5:$B$17&amp;" "&amp;'04 Lifts'!$C$5:$C$17&amp;"-person, "&amp;'04 Lifts'!$D$5:$D$17&amp;" m/s, "&amp;'04 Lifts'!$E$5:$E$17,$A96))*'04 Lifts'!$H$5:$H$17))</f>
        <v>0</v>
      </c>
      <c r="E96" s="55">
        <f t="shared" si="4"/>
        <v>0</v>
      </c>
      <c r="F96" s="52">
        <f>IF($A96="",0,SUMPRODUCT((EXACT('04 Lifts'!$B$5:$B$17&amp;" "&amp;'04 Lifts'!$C$5:$C$17&amp;"-person, "&amp;'04 Lifts'!$D$5:$D$17&amp;" m/s, "&amp;'04 Lifts'!$E$5:$E$17,$A96))*'04 Lifts'!$F$5:$F$17)*100000)</f>
        <v>0</v>
      </c>
      <c r="G96" s="53">
        <f>$B96*(F96+E96*IF($A96="",0,SUMPRODUCT((EXACT('04 Lifts'!$B$5:$B$17&amp;" "&amp;'04 Lifts'!$C$5:$C$17&amp;"-person, "&amp;'04 Lifts'!$D$5:$D$17&amp;" m/s, "&amp;'04 Lifts'!$E$5:$E$17,$A96))*'04 Lifts'!$G$5:$G$17)))</f>
        <v>0</v>
      </c>
    </row>
    <row r="97" spans="1:7" ht="15" customHeight="1" x14ac:dyDescent="0.3">
      <c r="A97" s="47"/>
      <c r="B97" s="50">
        <v>0</v>
      </c>
      <c r="C97" s="50">
        <v>0</v>
      </c>
      <c r="D97" s="55">
        <f>IF($A97="",0,SUMPRODUCT((EXACT('04 Lifts'!$B$5:$B$17&amp;" "&amp;'04 Lifts'!$C$5:$C$17&amp;"-person, "&amp;'04 Lifts'!$D$5:$D$17&amp;" m/s, "&amp;'04 Lifts'!$E$5:$E$17,$A97))*'04 Lifts'!$H$5:$H$17))</f>
        <v>0</v>
      </c>
      <c r="E97" s="55">
        <f t="shared" si="4"/>
        <v>0</v>
      </c>
      <c r="F97" s="52">
        <f>IF($A97="",0,SUMPRODUCT((EXACT('04 Lifts'!$B$5:$B$17&amp;" "&amp;'04 Lifts'!$C$5:$C$17&amp;"-person, "&amp;'04 Lifts'!$D$5:$D$17&amp;" m/s, "&amp;'04 Lifts'!$E$5:$E$17,$A97))*'04 Lifts'!$F$5:$F$17)*100000)</f>
        <v>0</v>
      </c>
      <c r="G97" s="53">
        <f>$B97*(F97+E97*IF($A97="",0,SUMPRODUCT((EXACT('04 Lifts'!$B$5:$B$17&amp;" "&amp;'04 Lifts'!$C$5:$C$17&amp;"-person, "&amp;'04 Lifts'!$D$5:$D$17&amp;" m/s, "&amp;'04 Lifts'!$E$5:$E$17,$A97))*'04 Lifts'!$G$5:$G$17)))</f>
        <v>0</v>
      </c>
    </row>
    <row r="98" spans="1:7" ht="15" customHeight="1" x14ac:dyDescent="0.3">
      <c r="A98" s="47"/>
      <c r="B98" s="50">
        <v>0</v>
      </c>
      <c r="C98" s="50">
        <v>0</v>
      </c>
      <c r="D98" s="55">
        <f>IF($A98="",0,SUMPRODUCT((EXACT('04 Lifts'!$B$5:$B$17&amp;" "&amp;'04 Lifts'!$C$5:$C$17&amp;"-person, "&amp;'04 Lifts'!$D$5:$D$17&amp;" m/s, "&amp;'04 Lifts'!$E$5:$E$17,$A98))*'04 Lifts'!$H$5:$H$17))</f>
        <v>0</v>
      </c>
      <c r="E98" s="55">
        <f t="shared" si="4"/>
        <v>0</v>
      </c>
      <c r="F98" s="52">
        <f>IF($A98="",0,SUMPRODUCT((EXACT('04 Lifts'!$B$5:$B$17&amp;" "&amp;'04 Lifts'!$C$5:$C$17&amp;"-person, "&amp;'04 Lifts'!$D$5:$D$17&amp;" m/s, "&amp;'04 Lifts'!$E$5:$E$17,$A98))*'04 Lifts'!$F$5:$F$17)*100000)</f>
        <v>0</v>
      </c>
      <c r="G98" s="53">
        <f>$B98*(F98+E98*IF($A98="",0,SUMPRODUCT((EXACT('04 Lifts'!$B$5:$B$17&amp;" "&amp;'04 Lifts'!$C$5:$C$17&amp;"-person, "&amp;'04 Lifts'!$D$5:$D$17&amp;" m/s, "&amp;'04 Lifts'!$E$5:$E$17,$A98))*'04 Lifts'!$G$5:$G$17)))</f>
        <v>0</v>
      </c>
    </row>
    <row r="99" spans="1:7" ht="15" customHeight="1" x14ac:dyDescent="0.3">
      <c r="A99" s="47"/>
      <c r="B99" s="50">
        <v>0</v>
      </c>
      <c r="C99" s="50">
        <v>0</v>
      </c>
      <c r="D99" s="55">
        <f>IF($A99="",0,SUMPRODUCT((EXACT('04 Lifts'!$B$5:$B$17&amp;" "&amp;'04 Lifts'!$C$5:$C$17&amp;"-person, "&amp;'04 Lifts'!$D$5:$D$17&amp;" m/s, "&amp;'04 Lifts'!$E$5:$E$17,$A99))*'04 Lifts'!$H$5:$H$17))</f>
        <v>0</v>
      </c>
      <c r="E99" s="55">
        <f t="shared" si="4"/>
        <v>0</v>
      </c>
      <c r="F99" s="52">
        <f>IF($A99="",0,SUMPRODUCT((EXACT('04 Lifts'!$B$5:$B$17&amp;" "&amp;'04 Lifts'!$C$5:$C$17&amp;"-person, "&amp;'04 Lifts'!$D$5:$D$17&amp;" m/s, "&amp;'04 Lifts'!$E$5:$E$17,$A99))*'04 Lifts'!$F$5:$F$17)*100000)</f>
        <v>0</v>
      </c>
      <c r="G99" s="53">
        <f>$B99*(F99+E99*IF($A99="",0,SUMPRODUCT((EXACT('04 Lifts'!$B$5:$B$17&amp;" "&amp;'04 Lifts'!$C$5:$C$17&amp;"-person, "&amp;'04 Lifts'!$D$5:$D$17&amp;" m/s, "&amp;'04 Lifts'!$E$5:$E$17,$A99))*'04 Lifts'!$G$5:$G$17)))</f>
        <v>0</v>
      </c>
    </row>
    <row r="100" spans="1:7" ht="15" customHeight="1" x14ac:dyDescent="0.3">
      <c r="A100" s="57" t="s">
        <v>164</v>
      </c>
      <c r="B100" s="27"/>
      <c r="C100" s="27"/>
      <c r="D100" s="27"/>
      <c r="E100" s="27"/>
      <c r="F100" s="27"/>
      <c r="G100" s="58">
        <f>SUM(G94:G99)</f>
        <v>0</v>
      </c>
    </row>
    <row r="101" spans="1:7" ht="15" customHeight="1" x14ac:dyDescent="0.3"/>
    <row r="102" spans="1:7" ht="16.95" customHeight="1" x14ac:dyDescent="0.3">
      <c r="A102" s="40" t="s">
        <v>165</v>
      </c>
      <c r="B102" s="40"/>
      <c r="C102" s="40"/>
      <c r="D102" s="40"/>
      <c r="E102" s="40"/>
      <c r="F102" s="40"/>
      <c r="G102" s="40"/>
    </row>
    <row r="103" spans="1:7" ht="13.05" customHeight="1" x14ac:dyDescent="0.3">
      <c r="A103" s="45" t="s">
        <v>86</v>
      </c>
      <c r="B103" s="45" t="s">
        <v>46</v>
      </c>
      <c r="C103" s="45" t="s">
        <v>166</v>
      </c>
      <c r="D103" s="45" t="s">
        <v>167</v>
      </c>
      <c r="E103" s="45" t="s">
        <v>47</v>
      </c>
      <c r="F103" s="45" t="s">
        <v>168</v>
      </c>
      <c r="G103" s="45" t="s">
        <v>64</v>
      </c>
    </row>
    <row r="104" spans="1:7" ht="15" customHeight="1" x14ac:dyDescent="0.3">
      <c r="A104" s="62" t="s">
        <v>169</v>
      </c>
      <c r="B104" s="46" t="s">
        <v>170</v>
      </c>
      <c r="C104" s="47" t="s">
        <v>124</v>
      </c>
      <c r="D104" s="56">
        <v>0</v>
      </c>
      <c r="F104" s="52">
        <f>IF($C104="None",0,SUMPRODUCT((EXACT('05 RCC Water Tank'!$B$5:$B$8,$C104))*'05 RCC Water Tank'!$D$5:$D$8))</f>
        <v>0</v>
      </c>
      <c r="G104" s="53">
        <f>F104*D104</f>
        <v>0</v>
      </c>
    </row>
    <row r="105" spans="1:7" ht="15" customHeight="1" x14ac:dyDescent="0.3">
      <c r="A105" s="62" t="s">
        <v>171</v>
      </c>
      <c r="B105" s="46" t="s">
        <v>172</v>
      </c>
      <c r="C105" s="47" t="s">
        <v>100</v>
      </c>
      <c r="D105" s="56">
        <v>0</v>
      </c>
      <c r="F105" s="52">
        <f>'05 RCC Water Tank'!$D$9</f>
        <v>24</v>
      </c>
      <c r="G105" s="53">
        <f>IF($C105="Yes",F105*D105,0)</f>
        <v>0</v>
      </c>
    </row>
    <row r="106" spans="1:7" ht="15" customHeight="1" x14ac:dyDescent="0.3">
      <c r="A106" s="57" t="s">
        <v>173</v>
      </c>
      <c r="B106" s="27"/>
      <c r="C106" s="27"/>
      <c r="D106" s="27"/>
      <c r="E106" s="27"/>
      <c r="F106" s="27"/>
      <c r="G106" s="58">
        <f>$G$104+$G$105</f>
        <v>0</v>
      </c>
    </row>
    <row r="107" spans="1:7" ht="15" customHeight="1" x14ac:dyDescent="0.3"/>
    <row r="108" spans="1:7" ht="16.95" customHeight="1" x14ac:dyDescent="0.3">
      <c r="A108" s="40" t="s">
        <v>174</v>
      </c>
      <c r="B108" s="40"/>
      <c r="C108" s="40"/>
      <c r="D108" s="40"/>
      <c r="E108" s="40"/>
      <c r="F108" s="40"/>
      <c r="G108" s="40"/>
    </row>
    <row r="109" spans="1:7" ht="15" customHeight="1" x14ac:dyDescent="0.3">
      <c r="B109" s="46" t="s">
        <v>175</v>
      </c>
      <c r="C109" s="47" t="s">
        <v>176</v>
      </c>
    </row>
    <row r="110" spans="1:7" ht="15" customHeight="1" x14ac:dyDescent="0.3">
      <c r="B110" s="46" t="s">
        <v>177</v>
      </c>
      <c r="C110" s="47" t="s">
        <v>178</v>
      </c>
    </row>
    <row r="111" spans="1:7" ht="15" customHeight="1" x14ac:dyDescent="0.3">
      <c r="B111" s="46" t="s">
        <v>179</v>
      </c>
      <c r="F111" s="61">
        <f>IF($C$110="Compact",0.045,IF($C$110="Semi compact / semi scattered",0.06,IF($C$110="Large",0.075,0)))</f>
        <v>4.4999999999999998E-2</v>
      </c>
      <c r="G111" s="53">
        <f>IF($C$110="Compact",0.045,IF($C$110="Semi compact / semi scattered",0.06,IF($C$110="Large",0.075,0)))*$G$70</f>
        <v>0</v>
      </c>
    </row>
    <row r="112" spans="1:7" ht="13.95" customHeight="1" x14ac:dyDescent="0.3">
      <c r="A112" s="42" t="s">
        <v>180</v>
      </c>
      <c r="B112" s="42"/>
      <c r="C112" s="42"/>
      <c r="D112" s="42"/>
      <c r="E112" s="42"/>
      <c r="F112" s="42"/>
      <c r="G112" s="42"/>
    </row>
    <row r="113" spans="1:7" ht="13.05" customHeight="1" x14ac:dyDescent="0.3">
      <c r="A113" s="45" t="s">
        <v>86</v>
      </c>
      <c r="B113" s="45" t="s">
        <v>46</v>
      </c>
      <c r="C113" s="45" t="s">
        <v>158</v>
      </c>
      <c r="D113" s="45"/>
      <c r="E113" s="45" t="s">
        <v>47</v>
      </c>
      <c r="F113" s="45" t="s">
        <v>181</v>
      </c>
      <c r="G113" s="45" t="s">
        <v>64</v>
      </c>
    </row>
    <row r="114" spans="1:7" ht="15" customHeight="1" outlineLevel="1" x14ac:dyDescent="0.3">
      <c r="A114" s="62" t="s">
        <v>182</v>
      </c>
      <c r="B114" s="46" t="s">
        <v>183</v>
      </c>
      <c r="C114" s="56">
        <v>0</v>
      </c>
      <c r="E114" s="49" t="s">
        <v>57</v>
      </c>
      <c r="F114" s="52">
        <f>'06 Development of Site'!D5</f>
        <v>160</v>
      </c>
      <c r="G114" s="53">
        <f t="shared" ref="G114:G123" si="5">C114*F114</f>
        <v>0</v>
      </c>
    </row>
    <row r="115" spans="1:7" ht="15" customHeight="1" outlineLevel="1" x14ac:dyDescent="0.3">
      <c r="A115" s="62" t="s">
        <v>184</v>
      </c>
      <c r="B115" s="46" t="s">
        <v>185</v>
      </c>
      <c r="C115" s="56">
        <v>0</v>
      </c>
      <c r="D115" s="47" t="s">
        <v>186</v>
      </c>
      <c r="E115" s="49" t="s">
        <v>57</v>
      </c>
      <c r="F115" s="52">
        <f>IF($D115="Internal road WBM+bituminous",'06 Development of Site'!$D$6,IF($D115="Internal road WMM+bituminous",'06 Development of Site'!$D$7,IF($D115="CC pavement (vacuum dewatered)",'06 Development of Site'!$D$8,IF($D115="Footpath (PCC+paver+kerb)",'06 Development of Site'!$D$9,0))))</f>
        <v>1940</v>
      </c>
      <c r="G115" s="53">
        <f t="shared" si="5"/>
        <v>0</v>
      </c>
    </row>
    <row r="116" spans="1:7" ht="15" customHeight="1" outlineLevel="1" x14ac:dyDescent="0.3">
      <c r="A116" s="62" t="s">
        <v>187</v>
      </c>
      <c r="B116" s="46" t="s">
        <v>188</v>
      </c>
      <c r="C116" s="56">
        <v>0</v>
      </c>
      <c r="E116" s="49" t="s">
        <v>53</v>
      </c>
      <c r="F116" s="52">
        <f>'06 Development of Site'!D10</f>
        <v>4180</v>
      </c>
      <c r="G116" s="53">
        <f t="shared" si="5"/>
        <v>0</v>
      </c>
    </row>
    <row r="117" spans="1:7" ht="15" customHeight="1" outlineLevel="1" x14ac:dyDescent="0.3">
      <c r="A117" s="62" t="s">
        <v>189</v>
      </c>
      <c r="B117" s="46" t="s">
        <v>190</v>
      </c>
      <c r="C117" s="56">
        <v>0</v>
      </c>
      <c r="D117" s="47" t="s">
        <v>191</v>
      </c>
      <c r="E117" s="49" t="s">
        <v>53</v>
      </c>
      <c r="F117" s="52">
        <f>IF($D117="Filtered - distribution upto 100mm",'06 Development of Site'!$D$11,IF($D117="Filtered - peripheral grid 150-300mm",'06 Development of Site'!$D$12,IF($D117="Unfiltered distribution",'06 Development of Site'!$D$13,0)))</f>
        <v>2170</v>
      </c>
      <c r="G117" s="53">
        <f t="shared" si="5"/>
        <v>0</v>
      </c>
    </row>
    <row r="118" spans="1:7" ht="15" customHeight="1" outlineLevel="1" x14ac:dyDescent="0.3">
      <c r="A118" s="62" t="s">
        <v>192</v>
      </c>
      <c r="B118" s="46" t="s">
        <v>193</v>
      </c>
      <c r="C118" s="56">
        <v>0</v>
      </c>
      <c r="E118" s="49" t="s">
        <v>53</v>
      </c>
      <c r="F118" s="52">
        <f>'06 Development of Site'!D14</f>
        <v>10810</v>
      </c>
      <c r="G118" s="53">
        <f t="shared" si="5"/>
        <v>0</v>
      </c>
    </row>
    <row r="119" spans="1:7" ht="15" customHeight="1" outlineLevel="1" x14ac:dyDescent="0.3">
      <c r="A119" s="62" t="s">
        <v>194</v>
      </c>
      <c r="B119" s="46" t="s">
        <v>195</v>
      </c>
      <c r="C119" s="56">
        <v>0</v>
      </c>
      <c r="E119" s="49" t="s">
        <v>53</v>
      </c>
      <c r="F119" s="52">
        <f>'06 Development of Site'!D15</f>
        <v>2330</v>
      </c>
      <c r="G119" s="53">
        <f t="shared" si="5"/>
        <v>0</v>
      </c>
    </row>
    <row r="120" spans="1:7" ht="15" customHeight="1" outlineLevel="1" x14ac:dyDescent="0.3">
      <c r="A120" s="62" t="s">
        <v>196</v>
      </c>
      <c r="B120" s="46" t="s">
        <v>197</v>
      </c>
      <c r="C120" s="56">
        <v>0</v>
      </c>
      <c r="E120" s="49" t="s">
        <v>53</v>
      </c>
      <c r="F120" s="52">
        <f>'06 Development of Site'!D16</f>
        <v>7460</v>
      </c>
      <c r="G120" s="53">
        <f t="shared" si="5"/>
        <v>0</v>
      </c>
    </row>
    <row r="121" spans="1:7" ht="15" customHeight="1" outlineLevel="1" x14ac:dyDescent="0.3">
      <c r="A121" s="62" t="s">
        <v>198</v>
      </c>
      <c r="B121" s="46" t="s">
        <v>199</v>
      </c>
      <c r="C121" s="56">
        <v>0</v>
      </c>
      <c r="D121" s="47" t="s">
        <v>200</v>
      </c>
      <c r="E121" s="49" t="s">
        <v>53</v>
      </c>
      <c r="F121" s="52">
        <f>IF($D121="Brickwork+RCC columns",'06 Development of Site'!$D$17,'06 Development of Site'!$D$18)</f>
        <v>13210</v>
      </c>
      <c r="G121" s="53">
        <f t="shared" si="5"/>
        <v>0</v>
      </c>
    </row>
    <row r="122" spans="1:7" ht="15" customHeight="1" outlineLevel="1" x14ac:dyDescent="0.3">
      <c r="A122" s="62" t="s">
        <v>201</v>
      </c>
      <c r="B122" s="46" t="s">
        <v>202</v>
      </c>
      <c r="C122" s="56">
        <v>0</v>
      </c>
      <c r="E122" s="49" t="s">
        <v>57</v>
      </c>
      <c r="F122" s="52">
        <f>'06 Development of Site'!D19</f>
        <v>578</v>
      </c>
      <c r="G122" s="53">
        <f t="shared" si="5"/>
        <v>0</v>
      </c>
    </row>
    <row r="123" spans="1:7" ht="15" customHeight="1" outlineLevel="1" x14ac:dyDescent="0.3">
      <c r="A123" s="62" t="s">
        <v>203</v>
      </c>
      <c r="B123" s="46" t="s">
        <v>204</v>
      </c>
      <c r="C123" s="56">
        <v>0</v>
      </c>
      <c r="E123" s="49" t="s">
        <v>57</v>
      </c>
      <c r="F123" s="52">
        <f>'06 Development of Site'!D20</f>
        <v>6683</v>
      </c>
      <c r="G123" s="53">
        <f t="shared" si="5"/>
        <v>0</v>
      </c>
    </row>
    <row r="124" spans="1:7" ht="15" customHeight="1" x14ac:dyDescent="0.3">
      <c r="B124" s="62" t="s">
        <v>205</v>
      </c>
      <c r="G124" s="60">
        <f>$G$114+$G$115+$G$116+$G$117+$G$118+$G$119+$G$120+$G$121+$G$122+$G$123</f>
        <v>0</v>
      </c>
    </row>
    <row r="125" spans="1:7" ht="15" customHeight="1" x14ac:dyDescent="0.3">
      <c r="A125" s="57" t="s">
        <v>206</v>
      </c>
      <c r="B125" s="27"/>
      <c r="C125" s="27"/>
      <c r="D125" s="27"/>
      <c r="E125" s="27"/>
      <c r="F125" s="27"/>
      <c r="G125" s="58">
        <f>IF($C$109="Detailed measurement",$G$124,$G$111)</f>
        <v>0</v>
      </c>
    </row>
    <row r="126" spans="1:7" ht="15" customHeight="1" x14ac:dyDescent="0.3">
      <c r="B126" s="62" t="s">
        <v>207</v>
      </c>
    </row>
    <row r="127" spans="1:7" ht="15" customHeight="1" x14ac:dyDescent="0.3"/>
    <row r="128" spans="1:7" ht="16.95" customHeight="1" x14ac:dyDescent="0.3">
      <c r="A128" s="40" t="s">
        <v>208</v>
      </c>
      <c r="B128" s="40"/>
      <c r="C128" s="40"/>
      <c r="D128" s="40"/>
      <c r="E128" s="40"/>
      <c r="F128" s="40"/>
      <c r="G128" s="40"/>
    </row>
    <row r="129" spans="1:7" ht="13.05" customHeight="1" x14ac:dyDescent="0.3">
      <c r="A129" s="45" t="s">
        <v>86</v>
      </c>
      <c r="B129" s="45" t="s">
        <v>46</v>
      </c>
      <c r="C129" s="45" t="s">
        <v>150</v>
      </c>
      <c r="D129" s="45" t="s">
        <v>209</v>
      </c>
      <c r="E129" s="45" t="s">
        <v>47</v>
      </c>
      <c r="F129" s="45" t="s">
        <v>181</v>
      </c>
      <c r="G129" s="45" t="s">
        <v>64</v>
      </c>
    </row>
    <row r="130" spans="1:7" ht="13.95" customHeight="1" x14ac:dyDescent="0.3">
      <c r="A130" s="42" t="s">
        <v>210</v>
      </c>
      <c r="B130" s="42"/>
      <c r="C130" s="42"/>
      <c r="D130" s="42"/>
      <c r="E130" s="42"/>
      <c r="F130" s="42"/>
      <c r="G130" s="42"/>
    </row>
    <row r="131" spans="1:7" ht="15" customHeight="1" outlineLevel="1" x14ac:dyDescent="0.3">
      <c r="A131" s="62" t="s">
        <v>211</v>
      </c>
      <c r="B131" s="46" t="s">
        <v>212</v>
      </c>
      <c r="C131" s="47" t="s">
        <v>100</v>
      </c>
      <c r="D131" s="51">
        <v>0</v>
      </c>
      <c r="E131" s="49" t="s">
        <v>213</v>
      </c>
      <c r="F131" s="52">
        <f>'07 Specialized E&amp;M'!D5</f>
        <v>3800</v>
      </c>
      <c r="G131" s="53">
        <f t="shared" ref="G131:G136" si="6">IF($C131="Yes",F131*D131,0)</f>
        <v>0</v>
      </c>
    </row>
    <row r="132" spans="1:7" ht="15" customHeight="1" outlineLevel="1" x14ac:dyDescent="0.3">
      <c r="A132" s="62" t="s">
        <v>214</v>
      </c>
      <c r="B132" s="46" t="s">
        <v>215</v>
      </c>
      <c r="C132" s="47" t="s">
        <v>100</v>
      </c>
      <c r="D132" s="51">
        <v>0</v>
      </c>
      <c r="E132" s="49" t="s">
        <v>213</v>
      </c>
      <c r="F132" s="52">
        <f>'07 Specialized E&amp;M'!D6</f>
        <v>9000</v>
      </c>
      <c r="G132" s="53">
        <f t="shared" si="6"/>
        <v>0</v>
      </c>
    </row>
    <row r="133" spans="1:7" ht="15" customHeight="1" outlineLevel="1" x14ac:dyDescent="0.3">
      <c r="A133" s="62" t="s">
        <v>216</v>
      </c>
      <c r="B133" s="46" t="s">
        <v>217</v>
      </c>
      <c r="C133" s="47" t="s">
        <v>100</v>
      </c>
      <c r="D133" s="51">
        <v>0</v>
      </c>
      <c r="E133" s="49" t="s">
        <v>213</v>
      </c>
      <c r="F133" s="52">
        <f>'07 Specialized E&amp;M'!D7</f>
        <v>8100</v>
      </c>
      <c r="G133" s="53">
        <f t="shared" si="6"/>
        <v>0</v>
      </c>
    </row>
    <row r="134" spans="1:7" ht="15" customHeight="1" outlineLevel="1" x14ac:dyDescent="0.3">
      <c r="A134" s="62" t="s">
        <v>218</v>
      </c>
      <c r="B134" s="46" t="s">
        <v>219</v>
      </c>
      <c r="C134" s="47" t="s">
        <v>100</v>
      </c>
      <c r="D134" s="51">
        <v>0</v>
      </c>
      <c r="E134" s="49" t="s">
        <v>213</v>
      </c>
      <c r="F134" s="52">
        <f>'07 Specialized E&amp;M'!D8</f>
        <v>11560</v>
      </c>
      <c r="G134" s="53">
        <f t="shared" si="6"/>
        <v>0</v>
      </c>
    </row>
    <row r="135" spans="1:7" ht="15" customHeight="1" outlineLevel="1" x14ac:dyDescent="0.3">
      <c r="A135" s="62" t="s">
        <v>220</v>
      </c>
      <c r="B135" s="46" t="s">
        <v>221</v>
      </c>
      <c r="C135" s="47" t="s">
        <v>100</v>
      </c>
      <c r="D135" s="51">
        <f>$D$134</f>
        <v>0</v>
      </c>
      <c r="E135" s="49" t="s">
        <v>213</v>
      </c>
      <c r="F135" s="52">
        <f>'07 Specialized E&amp;M'!D9</f>
        <v>1070</v>
      </c>
      <c r="G135" s="53">
        <f t="shared" si="6"/>
        <v>0</v>
      </c>
    </row>
    <row r="136" spans="1:7" ht="15" customHeight="1" outlineLevel="1" x14ac:dyDescent="0.3">
      <c r="A136" s="62" t="s">
        <v>222</v>
      </c>
      <c r="B136" s="46" t="s">
        <v>223</v>
      </c>
      <c r="C136" s="47" t="s">
        <v>100</v>
      </c>
      <c r="D136" s="51">
        <v>0</v>
      </c>
      <c r="E136" s="49" t="s">
        <v>213</v>
      </c>
      <c r="F136" s="52">
        <f>'07 Specialized E&amp;M'!D10</f>
        <v>21290</v>
      </c>
      <c r="G136" s="53">
        <f t="shared" si="6"/>
        <v>0</v>
      </c>
    </row>
    <row r="137" spans="1:7" ht="15" customHeight="1" outlineLevel="1" x14ac:dyDescent="0.3">
      <c r="A137" s="62" t="s">
        <v>224</v>
      </c>
      <c r="B137" s="46" t="s">
        <v>225</v>
      </c>
      <c r="C137" s="47" t="s">
        <v>100</v>
      </c>
      <c r="D137" s="51">
        <f>1</f>
        <v>1</v>
      </c>
      <c r="E137" s="49" t="s">
        <v>226</v>
      </c>
      <c r="F137" s="52">
        <f>'07 Specialized E&amp;M'!D11</f>
        <v>9580</v>
      </c>
      <c r="G137" s="53">
        <f>IF($C$137="Yes",F137*D137*$D$136,0)</f>
        <v>0</v>
      </c>
    </row>
    <row r="138" spans="1:7" ht="13.95" customHeight="1" x14ac:dyDescent="0.3">
      <c r="A138" s="42" t="s">
        <v>227</v>
      </c>
      <c r="B138" s="42"/>
      <c r="C138" s="42"/>
      <c r="D138" s="42"/>
      <c r="E138" s="42"/>
      <c r="F138" s="42"/>
      <c r="G138" s="42"/>
    </row>
    <row r="139" spans="1:7" ht="15" customHeight="1" outlineLevel="1" x14ac:dyDescent="0.3">
      <c r="A139" s="62" t="s">
        <v>228</v>
      </c>
      <c r="B139" s="46" t="s">
        <v>229</v>
      </c>
      <c r="C139" s="47" t="s">
        <v>100</v>
      </c>
      <c r="D139" s="51">
        <v>0</v>
      </c>
      <c r="E139" s="49" t="s">
        <v>230</v>
      </c>
      <c r="F139" s="52">
        <f>'07 Specialized E&amp;M'!D12</f>
        <v>90380</v>
      </c>
      <c r="G139" s="53">
        <f>IF($C139="Yes",F139*D139,0)</f>
        <v>0</v>
      </c>
    </row>
    <row r="140" spans="1:7" ht="15" customHeight="1" outlineLevel="1" x14ac:dyDescent="0.3">
      <c r="A140" s="62" t="s">
        <v>231</v>
      </c>
      <c r="B140" s="46" t="s">
        <v>232</v>
      </c>
      <c r="C140" s="47" t="s">
        <v>100</v>
      </c>
      <c r="D140" s="51">
        <f>$D$139</f>
        <v>0</v>
      </c>
      <c r="E140" s="49" t="s">
        <v>230</v>
      </c>
      <c r="F140" s="52">
        <f>'07 Specialized E&amp;M'!D13</f>
        <v>40860</v>
      </c>
      <c r="G140" s="53">
        <f>IF($C140="Yes",F140*D140,0)</f>
        <v>0</v>
      </c>
    </row>
    <row r="141" spans="1:7" ht="15" customHeight="1" outlineLevel="1" x14ac:dyDescent="0.3">
      <c r="A141" s="62" t="s">
        <v>233</v>
      </c>
      <c r="B141" s="46" t="s">
        <v>234</v>
      </c>
      <c r="C141" s="47" t="s">
        <v>100</v>
      </c>
      <c r="D141" s="51">
        <v>0</v>
      </c>
      <c r="E141" s="49" t="s">
        <v>235</v>
      </c>
      <c r="F141" s="52">
        <f>'07 Specialized E&amp;M'!D14</f>
        <v>58480</v>
      </c>
      <c r="G141" s="53">
        <f>IF($C141="Yes",F141*D141,0)</f>
        <v>0</v>
      </c>
    </row>
    <row r="142" spans="1:7" ht="15" customHeight="1" outlineLevel="1" x14ac:dyDescent="0.3">
      <c r="A142" s="62" t="s">
        <v>236</v>
      </c>
      <c r="B142" s="46" t="s">
        <v>237</v>
      </c>
      <c r="C142" s="47" t="s">
        <v>100</v>
      </c>
      <c r="D142" s="51">
        <v>0</v>
      </c>
      <c r="E142" s="49" t="s">
        <v>230</v>
      </c>
      <c r="F142" s="52">
        <f>'07 Specialized E&amp;M'!D15</f>
        <v>110000</v>
      </c>
      <c r="G142" s="53">
        <f>IF($C142="Yes",F142*D142,0)</f>
        <v>0</v>
      </c>
    </row>
    <row r="143" spans="1:7" ht="13.95" customHeight="1" x14ac:dyDescent="0.3">
      <c r="A143" s="42" t="s">
        <v>238</v>
      </c>
      <c r="B143" s="42"/>
      <c r="C143" s="42"/>
      <c r="D143" s="42"/>
      <c r="E143" s="42"/>
      <c r="F143" s="42"/>
      <c r="G143" s="42"/>
    </row>
    <row r="144" spans="1:7" ht="15" customHeight="1" outlineLevel="1" x14ac:dyDescent="0.3">
      <c r="A144" s="62" t="s">
        <v>239</v>
      </c>
      <c r="B144" s="46" t="s">
        <v>240</v>
      </c>
      <c r="C144" s="47" t="s">
        <v>100</v>
      </c>
      <c r="D144" s="51">
        <v>0</v>
      </c>
      <c r="E144" s="49" t="s">
        <v>241</v>
      </c>
      <c r="F144" s="52">
        <f>'07 Specialized E&amp;M'!D16</f>
        <v>58480</v>
      </c>
      <c r="G144" s="53">
        <f>IF($C144="Yes",F144*D144,0)</f>
        <v>0</v>
      </c>
    </row>
    <row r="145" spans="1:7" ht="15" customHeight="1" outlineLevel="1" x14ac:dyDescent="0.3">
      <c r="A145" s="62" t="s">
        <v>242</v>
      </c>
      <c r="B145" s="46" t="s">
        <v>243</v>
      </c>
      <c r="C145" s="47" t="s">
        <v>100</v>
      </c>
      <c r="D145" s="56">
        <v>0</v>
      </c>
      <c r="E145" s="49" t="s">
        <v>244</v>
      </c>
      <c r="F145" s="52">
        <f>'07 Specialized E&amp;M'!D17</f>
        <v>23920</v>
      </c>
      <c r="G145" s="53">
        <f>IF($C145="Yes",F145*D145/100,0)</f>
        <v>0</v>
      </c>
    </row>
    <row r="146" spans="1:7" ht="13.95" customHeight="1" x14ac:dyDescent="0.3">
      <c r="A146" s="42" t="s">
        <v>245</v>
      </c>
      <c r="B146" s="42"/>
      <c r="C146" s="42"/>
      <c r="D146" s="42"/>
      <c r="E146" s="42"/>
      <c r="F146" s="42"/>
      <c r="G146" s="42"/>
    </row>
    <row r="147" spans="1:7" ht="15" customHeight="1" outlineLevel="1" x14ac:dyDescent="0.3">
      <c r="A147" s="62" t="s">
        <v>246</v>
      </c>
      <c r="B147" s="46" t="s">
        <v>247</v>
      </c>
      <c r="C147" s="47" t="s">
        <v>100</v>
      </c>
      <c r="D147" s="51">
        <f>$C$27</f>
        <v>0</v>
      </c>
      <c r="E147" s="49" t="s">
        <v>57</v>
      </c>
      <c r="F147" s="52">
        <f>'07 Specialized E&amp;M'!D18</f>
        <v>210</v>
      </c>
      <c r="G147" s="53">
        <f>IF($C147="Yes",F147*D147,0)</f>
        <v>0</v>
      </c>
    </row>
    <row r="148" spans="1:7" ht="15" customHeight="1" outlineLevel="1" x14ac:dyDescent="0.3">
      <c r="A148" s="62" t="s">
        <v>248</v>
      </c>
      <c r="B148" s="46" t="s">
        <v>249</v>
      </c>
      <c r="C148" s="47" t="s">
        <v>100</v>
      </c>
      <c r="D148" s="51">
        <f>MAX(0,$C$28-$C$26)</f>
        <v>0</v>
      </c>
      <c r="E148" s="49" t="s">
        <v>57</v>
      </c>
      <c r="F148" s="52">
        <f>'07 Specialized E&amp;M'!D19</f>
        <v>210</v>
      </c>
      <c r="G148" s="53">
        <f>IF($C148="Yes",F148*D148,0)</f>
        <v>0</v>
      </c>
    </row>
    <row r="149" spans="1:7" ht="15" customHeight="1" outlineLevel="1" x14ac:dyDescent="0.3">
      <c r="A149" s="62" t="s">
        <v>250</v>
      </c>
      <c r="B149" s="46" t="s">
        <v>251</v>
      </c>
      <c r="C149" s="47" t="s">
        <v>100</v>
      </c>
      <c r="D149" s="51">
        <v>0</v>
      </c>
      <c r="E149" s="49" t="s">
        <v>57</v>
      </c>
      <c r="F149" s="52">
        <f>'07 Specialized E&amp;M'!D20</f>
        <v>220</v>
      </c>
      <c r="G149" s="53">
        <f>IF($C149="Yes",F149*D149,0)</f>
        <v>0</v>
      </c>
    </row>
    <row r="150" spans="1:7" ht="15" customHeight="1" outlineLevel="1" x14ac:dyDescent="0.3">
      <c r="A150" s="62" t="s">
        <v>252</v>
      </c>
      <c r="B150" s="46" t="s">
        <v>253</v>
      </c>
      <c r="C150" s="47" t="s">
        <v>100</v>
      </c>
      <c r="D150" s="51">
        <f>$C$27</f>
        <v>0</v>
      </c>
      <c r="E150" s="49" t="s">
        <v>57</v>
      </c>
      <c r="F150" s="52">
        <f>'07 Specialized E&amp;M'!D21</f>
        <v>430</v>
      </c>
      <c r="G150" s="53">
        <f>IF($C150="Yes",F150*D150,0)</f>
        <v>0</v>
      </c>
    </row>
    <row r="151" spans="1:7" ht="15" customHeight="1" outlineLevel="1" x14ac:dyDescent="0.3">
      <c r="A151" s="62" t="s">
        <v>254</v>
      </c>
      <c r="B151" s="46" t="s">
        <v>255</v>
      </c>
      <c r="C151" s="47" t="s">
        <v>100</v>
      </c>
      <c r="D151" s="53">
        <f>$C$27</f>
        <v>0</v>
      </c>
      <c r="E151" s="49" t="s">
        <v>57</v>
      </c>
      <c r="F151" s="52">
        <f>'07 Specialized E&amp;M'!D22</f>
        <v>130</v>
      </c>
      <c r="G151" s="53">
        <f>IF(AND($C151="Yes",$C$27&gt;10000),F151*D151,0)</f>
        <v>0</v>
      </c>
    </row>
    <row r="152" spans="1:7" ht="15" customHeight="1" outlineLevel="1" x14ac:dyDescent="0.3">
      <c r="A152" s="62" t="s">
        <v>256</v>
      </c>
      <c r="B152" s="46" t="s">
        <v>257</v>
      </c>
      <c r="C152" s="47" t="s">
        <v>100</v>
      </c>
      <c r="D152" s="51">
        <v>0</v>
      </c>
      <c r="E152" s="49" t="s">
        <v>258</v>
      </c>
      <c r="F152" s="52">
        <f>'07 Specialized E&amp;M'!D23</f>
        <v>1640</v>
      </c>
      <c r="G152" s="53">
        <f>IF($C152="Yes",F152*D152,0)</f>
        <v>0</v>
      </c>
    </row>
    <row r="153" spans="1:7" ht="13.95" customHeight="1" x14ac:dyDescent="0.3">
      <c r="A153" s="42" t="s">
        <v>259</v>
      </c>
      <c r="B153" s="42"/>
      <c r="C153" s="42"/>
      <c r="D153" s="42"/>
      <c r="E153" s="42"/>
      <c r="F153" s="42"/>
      <c r="G153" s="42"/>
    </row>
    <row r="154" spans="1:7" ht="15" customHeight="1" outlineLevel="1" x14ac:dyDescent="0.3">
      <c r="A154" s="62" t="s">
        <v>260</v>
      </c>
      <c r="B154" s="46" t="s">
        <v>261</v>
      </c>
      <c r="C154" s="47" t="s">
        <v>100</v>
      </c>
      <c r="D154" s="51">
        <v>0</v>
      </c>
      <c r="E154" s="49" t="s">
        <v>57</v>
      </c>
      <c r="F154" s="52">
        <f>'07 Specialized E&amp;M'!D24</f>
        <v>220</v>
      </c>
      <c r="G154" s="53">
        <f>IF($C154="Yes",F154*D154,0)</f>
        <v>0</v>
      </c>
    </row>
    <row r="155" spans="1:7" ht="15" customHeight="1" outlineLevel="1" x14ac:dyDescent="0.3">
      <c r="B155" s="46" t="s">
        <v>262</v>
      </c>
      <c r="D155" s="56">
        <v>0</v>
      </c>
    </row>
    <row r="156" spans="1:7" ht="15" customHeight="1" outlineLevel="1" x14ac:dyDescent="0.3">
      <c r="A156" s="62" t="s">
        <v>263</v>
      </c>
      <c r="B156" s="46" t="s">
        <v>264</v>
      </c>
      <c r="C156" s="47" t="s">
        <v>100</v>
      </c>
      <c r="D156" s="51">
        <f>$D$155</f>
        <v>0</v>
      </c>
      <c r="E156" s="49" t="s">
        <v>57</v>
      </c>
      <c r="F156" s="52">
        <f>'07 Specialized E&amp;M'!D25</f>
        <v>320</v>
      </c>
      <c r="G156" s="53">
        <f>IF($C156="Yes",F156*D156,0)</f>
        <v>0</v>
      </c>
    </row>
    <row r="157" spans="1:7" ht="15" customHeight="1" outlineLevel="1" x14ac:dyDescent="0.3">
      <c r="A157" s="62" t="s">
        <v>265</v>
      </c>
      <c r="B157" s="46" t="s">
        <v>266</v>
      </c>
      <c r="C157" s="47" t="s">
        <v>100</v>
      </c>
      <c r="D157" s="51">
        <f>$D$155</f>
        <v>0</v>
      </c>
      <c r="E157" s="49" t="s">
        <v>57</v>
      </c>
      <c r="F157" s="52">
        <f>'07 Specialized E&amp;M'!D26</f>
        <v>320</v>
      </c>
      <c r="G157" s="53">
        <f>IF($C157="Yes",F157*D157,0)</f>
        <v>0</v>
      </c>
    </row>
    <row r="158" spans="1:7" ht="15" customHeight="1" outlineLevel="1" x14ac:dyDescent="0.3">
      <c r="A158" s="62" t="s">
        <v>267</v>
      </c>
      <c r="B158" s="46" t="s">
        <v>268</v>
      </c>
      <c r="C158" s="47" t="s">
        <v>100</v>
      </c>
      <c r="D158" s="51">
        <f>$D$155</f>
        <v>0</v>
      </c>
      <c r="E158" s="49" t="s">
        <v>57</v>
      </c>
      <c r="F158" s="52">
        <f>'07 Specialized E&amp;M'!D27</f>
        <v>560</v>
      </c>
      <c r="G158" s="53">
        <f>IF($C158="Yes",F158*D158,0)</f>
        <v>0</v>
      </c>
    </row>
    <row r="159" spans="1:7" ht="15" customHeight="1" outlineLevel="1" x14ac:dyDescent="0.3">
      <c r="A159" s="62" t="s">
        <v>269</v>
      </c>
      <c r="B159" s="46" t="s">
        <v>270</v>
      </c>
      <c r="C159" s="47" t="s">
        <v>100</v>
      </c>
      <c r="D159" s="51">
        <f>$D$155</f>
        <v>0</v>
      </c>
      <c r="E159" s="49" t="s">
        <v>57</v>
      </c>
      <c r="F159" s="52">
        <f>'07 Specialized E&amp;M'!D28</f>
        <v>580</v>
      </c>
      <c r="G159" s="53">
        <f>IF($C159="Yes",F159*D159,0)</f>
        <v>0</v>
      </c>
    </row>
    <row r="160" spans="1:7" ht="15" customHeight="1" outlineLevel="1" x14ac:dyDescent="0.3">
      <c r="A160" s="62" t="s">
        <v>271</v>
      </c>
      <c r="B160" s="46" t="s">
        <v>272</v>
      </c>
      <c r="C160" s="47" t="s">
        <v>100</v>
      </c>
      <c r="D160" s="51">
        <v>0</v>
      </c>
      <c r="E160" s="49" t="s">
        <v>57</v>
      </c>
      <c r="F160" s="52">
        <f>'07 Specialized E&amp;M'!D29</f>
        <v>11890</v>
      </c>
      <c r="G160" s="53">
        <f>IF($C160="Yes",F160*D160,0)</f>
        <v>0</v>
      </c>
    </row>
    <row r="161" spans="1:7" ht="13.95" customHeight="1" x14ac:dyDescent="0.3">
      <c r="A161" s="42" t="s">
        <v>273</v>
      </c>
      <c r="B161" s="42"/>
      <c r="C161" s="42"/>
      <c r="D161" s="42"/>
      <c r="E161" s="42"/>
      <c r="F161" s="42"/>
      <c r="G161" s="42"/>
    </row>
    <row r="162" spans="1:7" ht="15" customHeight="1" outlineLevel="1" x14ac:dyDescent="0.3">
      <c r="A162" s="62" t="s">
        <v>274</v>
      </c>
      <c r="B162" s="46" t="s">
        <v>275</v>
      </c>
      <c r="C162" s="47" t="s">
        <v>100</v>
      </c>
      <c r="D162" s="53">
        <f>$C$28</f>
        <v>0</v>
      </c>
      <c r="E162" s="49" t="s">
        <v>57</v>
      </c>
      <c r="F162" s="52">
        <f>'07 Specialized E&amp;M'!D30</f>
        <v>160</v>
      </c>
      <c r="G162" s="53">
        <f>IF($C162="Yes",F162*D162,0)</f>
        <v>0</v>
      </c>
    </row>
    <row r="163" spans="1:7" ht="15" customHeight="1" outlineLevel="1" x14ac:dyDescent="0.3">
      <c r="B163" s="63" t="str">
        <f>IF(AND($C$162="Yes",$C$28&lt;4046.86),"Note: plot is under 1 acre - work out street-lighting requirement separately rather than using this rate.","")</f>
        <v/>
      </c>
    </row>
    <row r="164" spans="1:7" ht="15" customHeight="1" outlineLevel="1" x14ac:dyDescent="0.3">
      <c r="B164" s="46" t="s">
        <v>276</v>
      </c>
      <c r="D164" s="56">
        <v>0</v>
      </c>
      <c r="E164" s="49" t="s">
        <v>277</v>
      </c>
    </row>
    <row r="165" spans="1:7" ht="15" customHeight="1" outlineLevel="1" x14ac:dyDescent="0.3">
      <c r="A165" s="62" t="s">
        <v>278</v>
      </c>
      <c r="B165" s="46" t="s">
        <v>279</v>
      </c>
      <c r="F165" s="52">
        <f>'07 Specialized E&amp;M'!D31</f>
        <v>75000</v>
      </c>
      <c r="G165" s="53">
        <f>MIN($D$164,50)*F165</f>
        <v>0</v>
      </c>
    </row>
    <row r="166" spans="1:7" ht="15" customHeight="1" outlineLevel="1" x14ac:dyDescent="0.3">
      <c r="A166" s="62" t="s">
        <v>280</v>
      </c>
      <c r="B166" s="46" t="s">
        <v>281</v>
      </c>
      <c r="F166" s="52">
        <f>'07 Specialized E&amp;M'!D32</f>
        <v>60000</v>
      </c>
      <c r="G166" s="53">
        <f>MAX(0,MIN($D$164,100)-50)*F166</f>
        <v>0</v>
      </c>
    </row>
    <row r="167" spans="1:7" ht="15" customHeight="1" outlineLevel="1" x14ac:dyDescent="0.3">
      <c r="A167" s="62" t="s">
        <v>282</v>
      </c>
      <c r="B167" s="46" t="s">
        <v>283</v>
      </c>
      <c r="F167" s="52">
        <f>'07 Specialized E&amp;M'!D33</f>
        <v>50000</v>
      </c>
      <c r="G167" s="53">
        <f>MAX(0,$D$164-100)*F167</f>
        <v>0</v>
      </c>
    </row>
    <row r="168" spans="1:7" ht="13.95" customHeight="1" x14ac:dyDescent="0.3">
      <c r="A168" s="42" t="s">
        <v>284</v>
      </c>
      <c r="B168" s="42"/>
      <c r="C168" s="42"/>
      <c r="D168" s="42"/>
      <c r="E168" s="42"/>
      <c r="F168" s="42"/>
      <c r="G168" s="42"/>
    </row>
    <row r="169" spans="1:7" ht="15" customHeight="1" outlineLevel="1" x14ac:dyDescent="0.3">
      <c r="A169" s="62" t="s">
        <v>285</v>
      </c>
      <c r="B169" s="46" t="s">
        <v>286</v>
      </c>
      <c r="C169" s="47" t="s">
        <v>100</v>
      </c>
      <c r="D169" s="51">
        <v>0</v>
      </c>
      <c r="E169" s="49" t="s">
        <v>287</v>
      </c>
      <c r="F169" s="52">
        <f>'07 Specialized E&amp;M'!D34</f>
        <v>770890</v>
      </c>
      <c r="G169" s="53">
        <f t="shared" ref="G169:G178" si="7">IF($C169="Yes",F169*D169,0)</f>
        <v>0</v>
      </c>
    </row>
    <row r="170" spans="1:7" ht="15" customHeight="1" outlineLevel="1" x14ac:dyDescent="0.3">
      <c r="A170" s="62" t="s">
        <v>288</v>
      </c>
      <c r="B170" s="46" t="s">
        <v>289</v>
      </c>
      <c r="C170" s="47" t="s">
        <v>100</v>
      </c>
      <c r="D170" s="51">
        <v>0</v>
      </c>
      <c r="E170" s="49" t="s">
        <v>290</v>
      </c>
      <c r="F170" s="52">
        <f>'07 Specialized E&amp;M'!D35</f>
        <v>2259510</v>
      </c>
      <c r="G170" s="53">
        <f t="shared" si="7"/>
        <v>0</v>
      </c>
    </row>
    <row r="171" spans="1:7" ht="15" customHeight="1" outlineLevel="1" x14ac:dyDescent="0.3">
      <c r="A171" s="62" t="s">
        <v>291</v>
      </c>
      <c r="B171" s="46" t="s">
        <v>292</v>
      </c>
      <c r="C171" s="47" t="s">
        <v>100</v>
      </c>
      <c r="D171" s="51">
        <v>0</v>
      </c>
      <c r="E171" s="49" t="s">
        <v>290</v>
      </c>
      <c r="F171" s="52">
        <f>'07 Specialized E&amp;M'!D36</f>
        <v>3721550</v>
      </c>
      <c r="G171" s="53">
        <f t="shared" si="7"/>
        <v>0</v>
      </c>
    </row>
    <row r="172" spans="1:7" ht="15" customHeight="1" outlineLevel="1" x14ac:dyDescent="0.3">
      <c r="A172" s="62" t="s">
        <v>293</v>
      </c>
      <c r="B172" s="46" t="s">
        <v>294</v>
      </c>
      <c r="C172" s="47" t="s">
        <v>100</v>
      </c>
      <c r="D172" s="51">
        <v>0</v>
      </c>
      <c r="E172" s="49" t="s">
        <v>287</v>
      </c>
      <c r="F172" s="52">
        <f>'07 Specialized E&amp;M'!D37</f>
        <v>372160</v>
      </c>
      <c r="G172" s="53">
        <f t="shared" si="7"/>
        <v>0</v>
      </c>
    </row>
    <row r="173" spans="1:7" ht="15" customHeight="1" outlineLevel="1" x14ac:dyDescent="0.3">
      <c r="A173" s="62" t="s">
        <v>295</v>
      </c>
      <c r="B173" s="46" t="s">
        <v>296</v>
      </c>
      <c r="C173" s="47" t="s">
        <v>100</v>
      </c>
      <c r="D173" s="51">
        <v>0</v>
      </c>
      <c r="E173" s="49" t="s">
        <v>297</v>
      </c>
      <c r="F173" s="52">
        <f>'07 Specialized E&amp;M'!D38</f>
        <v>7200000</v>
      </c>
      <c r="G173" s="53">
        <f t="shared" si="7"/>
        <v>0</v>
      </c>
    </row>
    <row r="174" spans="1:7" ht="15" customHeight="1" outlineLevel="1" x14ac:dyDescent="0.3">
      <c r="A174" s="62" t="s">
        <v>298</v>
      </c>
      <c r="B174" s="46" t="s">
        <v>299</v>
      </c>
      <c r="C174" s="47" t="s">
        <v>100</v>
      </c>
      <c r="D174" s="51">
        <v>0</v>
      </c>
      <c r="E174" s="49" t="s">
        <v>297</v>
      </c>
      <c r="F174" s="52">
        <f>'07 Specialized E&amp;M'!D39</f>
        <v>10500000</v>
      </c>
      <c r="G174" s="53">
        <f t="shared" si="7"/>
        <v>0</v>
      </c>
    </row>
    <row r="175" spans="1:7" ht="15" customHeight="1" outlineLevel="1" x14ac:dyDescent="0.3">
      <c r="A175" s="62" t="s">
        <v>300</v>
      </c>
      <c r="B175" s="46" t="s">
        <v>301</v>
      </c>
      <c r="C175" s="47" t="s">
        <v>100</v>
      </c>
      <c r="D175" s="51">
        <v>0</v>
      </c>
      <c r="E175" s="49" t="s">
        <v>302</v>
      </c>
      <c r="F175" s="52">
        <f>'07 Specialized E&amp;M'!D40</f>
        <v>125000</v>
      </c>
      <c r="G175" s="53">
        <f t="shared" si="7"/>
        <v>0</v>
      </c>
    </row>
    <row r="176" spans="1:7" ht="15" customHeight="1" outlineLevel="1" x14ac:dyDescent="0.3">
      <c r="A176" s="62" t="s">
        <v>303</v>
      </c>
      <c r="B176" s="46" t="s">
        <v>304</v>
      </c>
      <c r="C176" s="47" t="s">
        <v>100</v>
      </c>
      <c r="D176" s="51">
        <v>0</v>
      </c>
      <c r="E176" s="49" t="s">
        <v>305</v>
      </c>
      <c r="F176" s="52">
        <f>'07 Specialized E&amp;M'!D41</f>
        <v>10000</v>
      </c>
      <c r="G176" s="53">
        <f t="shared" si="7"/>
        <v>0</v>
      </c>
    </row>
    <row r="177" spans="1:7" ht="15" customHeight="1" outlineLevel="1" x14ac:dyDescent="0.3">
      <c r="A177" s="62" t="s">
        <v>306</v>
      </c>
      <c r="B177" s="46" t="s">
        <v>307</v>
      </c>
      <c r="C177" s="47" t="s">
        <v>100</v>
      </c>
      <c r="D177" s="51">
        <f>$C$27</f>
        <v>0</v>
      </c>
      <c r="E177" s="49" t="s">
        <v>57</v>
      </c>
      <c r="F177" s="52">
        <f>'07 Specialized E&amp;M'!D42</f>
        <v>22</v>
      </c>
      <c r="G177" s="53">
        <f t="shared" si="7"/>
        <v>0</v>
      </c>
    </row>
    <row r="178" spans="1:7" ht="15" customHeight="1" outlineLevel="1" x14ac:dyDescent="0.3">
      <c r="A178" s="62" t="s">
        <v>308</v>
      </c>
      <c r="B178" s="46" t="s">
        <v>309</v>
      </c>
      <c r="C178" s="47" t="s">
        <v>100</v>
      </c>
      <c r="D178" s="51">
        <v>0</v>
      </c>
      <c r="E178" s="49" t="s">
        <v>310</v>
      </c>
      <c r="F178" s="52">
        <f>'07 Specialized E&amp;M'!D43</f>
        <v>500000</v>
      </c>
      <c r="G178" s="53">
        <f t="shared" si="7"/>
        <v>0</v>
      </c>
    </row>
    <row r="179" spans="1:7" ht="15" customHeight="1" x14ac:dyDescent="0.3">
      <c r="A179" s="57" t="s">
        <v>311</v>
      </c>
      <c r="B179" s="27"/>
      <c r="C179" s="27"/>
      <c r="D179" s="27"/>
      <c r="E179" s="27"/>
      <c r="F179" s="27"/>
      <c r="G179" s="58">
        <f>$G$131+$G$132+$G$133+$G$134+$G$135+$G$136+$G$137+$G$139+$G$140+$G$141+$G$142+$G$144+$G$145+$G$147+$G$148+$G$149+$G$150+$G$151+$G$152+$G$154+$G$156+$G$157+$G$158+$G$159+$G$160+$G$162+$G$165+$G$166+$G$167+$G$169+$G$170+$G$171+$G$172+$G$173+$G$174+$G$175+$G$176+$G$177+$G$178</f>
        <v>0</v>
      </c>
    </row>
    <row r="180" spans="1:7" ht="15" customHeight="1" x14ac:dyDescent="0.3"/>
    <row r="181" spans="1:7" ht="16.95" customHeight="1" x14ac:dyDescent="0.3">
      <c r="A181" s="40" t="s">
        <v>312</v>
      </c>
      <c r="B181" s="40"/>
      <c r="C181" s="40"/>
      <c r="D181" s="40"/>
      <c r="E181" s="40"/>
      <c r="F181" s="40"/>
      <c r="G181" s="40"/>
    </row>
    <row r="182" spans="1:7" ht="15" customHeight="1" x14ac:dyDescent="0.3">
      <c r="B182" s="46" t="s">
        <v>313</v>
      </c>
      <c r="G182" s="53">
        <f>$G$70</f>
        <v>0</v>
      </c>
    </row>
    <row r="183" spans="1:7" ht="15" customHeight="1" x14ac:dyDescent="0.3">
      <c r="B183" s="46" t="s">
        <v>314</v>
      </c>
      <c r="G183" s="53">
        <f>$G$83</f>
        <v>0</v>
      </c>
    </row>
    <row r="184" spans="1:7" ht="15" customHeight="1" x14ac:dyDescent="0.3">
      <c r="B184" s="46" t="s">
        <v>315</v>
      </c>
      <c r="G184" s="53">
        <f>$G$90</f>
        <v>0</v>
      </c>
    </row>
    <row r="185" spans="1:7" ht="15" customHeight="1" x14ac:dyDescent="0.3">
      <c r="B185" s="46" t="s">
        <v>316</v>
      </c>
      <c r="G185" s="53">
        <f>$G$100</f>
        <v>0</v>
      </c>
    </row>
    <row r="186" spans="1:7" ht="15" customHeight="1" x14ac:dyDescent="0.3">
      <c r="B186" s="46" t="s">
        <v>317</v>
      </c>
      <c r="G186" s="53">
        <f>$G$106</f>
        <v>0</v>
      </c>
    </row>
    <row r="187" spans="1:7" ht="15" customHeight="1" x14ac:dyDescent="0.3">
      <c r="B187" s="46" t="s">
        <v>318</v>
      </c>
      <c r="G187" s="53">
        <f>$G$125</f>
        <v>0</v>
      </c>
    </row>
    <row r="188" spans="1:7" ht="15" customHeight="1" x14ac:dyDescent="0.3">
      <c r="B188" s="46" t="s">
        <v>319</v>
      </c>
      <c r="G188" s="53">
        <f>$G$179</f>
        <v>0</v>
      </c>
    </row>
    <row r="189" spans="1:7" ht="15" customHeight="1" x14ac:dyDescent="0.3">
      <c r="A189" s="57" t="s">
        <v>43</v>
      </c>
      <c r="B189" s="27"/>
      <c r="C189" s="27"/>
      <c r="D189" s="27"/>
      <c r="E189" s="27"/>
      <c r="F189" s="27"/>
      <c r="G189" s="58">
        <f>$G$70+$G$83+$G$90+$G$100+$G$106+$G$125+$G$179</f>
        <v>0</v>
      </c>
    </row>
    <row r="190" spans="1:7" ht="15" customHeight="1" x14ac:dyDescent="0.3">
      <c r="B190" s="46" t="s">
        <v>320</v>
      </c>
      <c r="C190" s="68">
        <v>0</v>
      </c>
      <c r="E190" s="49" t="s">
        <v>321</v>
      </c>
      <c r="G190" s="53">
        <f>C190*$G$189</f>
        <v>0</v>
      </c>
    </row>
    <row r="191" spans="1:7" ht="15" customHeight="1" x14ac:dyDescent="0.3"/>
    <row r="192" spans="1:7" ht="22.05" customHeight="1" x14ac:dyDescent="0.35">
      <c r="A192" s="28"/>
      <c r="B192" s="41" t="s">
        <v>322</v>
      </c>
      <c r="C192" s="28"/>
      <c r="D192" s="28"/>
      <c r="E192" s="28"/>
      <c r="F192" s="28"/>
      <c r="G192" s="64">
        <f>$G$189+$G$190</f>
        <v>0</v>
      </c>
    </row>
    <row r="193" spans="2:7" ht="15" customHeight="1" x14ac:dyDescent="0.3">
      <c r="B193" s="46" t="s">
        <v>33</v>
      </c>
      <c r="G193" s="69">
        <f>$G$192/10000000</f>
        <v>0</v>
      </c>
    </row>
    <row r="194" spans="2:7" ht="15" customHeight="1" x14ac:dyDescent="0.3"/>
    <row r="195" spans="2:7" x14ac:dyDescent="0.3">
      <c r="B195" s="49" t="s">
        <v>323</v>
      </c>
    </row>
  </sheetData>
  <dataValidations count="58">
    <dataValidation type="list" sqref="C21">
      <formula1>"Offices/Colleges,Hospitals,Schools,Hostels - with attached toilets,Hostels - with common toilets,Quarters"</formula1>
    </dataValidation>
    <dataValidation type="list" sqref="C22">
      <formula1>"RCC Framed,Composite (partially load bearing)"</formula1>
    </dataValidation>
    <dataValidation type="list" sqref="C23">
      <formula1>"3.60,3.00"</formula1>
    </dataValidation>
    <dataValidation type="list" sqref="C21">
      <formula1>"Offices/Colleges,Hospitals,Schools,Hostels — with attached toilets,Hostels — with common toilets,Quarters"</formula1>
    </dataValidation>
    <dataValidation type="list" sqref="C55">
      <formula1>"Yes,No"</formula1>
    </dataValidation>
    <dataValidation type="list" sqref="C56">
      <formula1>"Yes,No"</formula1>
    </dataValidation>
    <dataValidation type="list" sqref="C57">
      <formula1>"Yes,No"</formula1>
    </dataValidation>
    <dataValidation type="list" sqref="C59">
      <formula1>"Yes,No"</formula1>
    </dataValidation>
    <dataValidation type="list" sqref="C61">
      <formula1>"Yes,No"</formula1>
    </dataValidation>
    <dataValidation type="list" sqref="C63">
      <formula1>"Yes,No"</formula1>
    </dataValidation>
    <dataValidation type="list" sqref="C65">
      <formula1>"Yes,No"</formula1>
    </dataValidation>
    <dataValidation type="list" sqref="C67">
      <formula1>"None,Downcomer System,Wet riser system,Wet riser and sprinkler system"</formula1>
    </dataValidation>
    <dataValidation type="list" sqref="C68">
      <formula1>"None,Manual fire alarm system,Automatic fire alarm system"</formula1>
    </dataValidation>
    <dataValidation type="list" sqref="C88">
      <formula1>"Yes,No"</formula1>
    </dataValidation>
    <dataValidation type="list" sqref="C89">
      <formula1>"Yes,No"</formula1>
    </dataValidation>
    <dataValidation type="list" sqref="C104">
      <formula1>"None,Overhead tank without independent staging,Overhead tank with staging height upto 20 metre,Overhead tank with staging height above 20 metre upto 30 metre,Overhead tank with staging height above 30 metre upto 40 metre"</formula1>
    </dataValidation>
    <dataValidation type="list" sqref="C105">
      <formula1>"Yes,No"</formula1>
    </dataValidation>
    <dataValidation type="list" sqref="C109">
      <formula1>"Detailed measurement,Flat % (site category)"</formula1>
    </dataValidation>
    <dataValidation type="list" allowBlank="1" sqref="C110">
      <formula1>"Compact,Semi compact / semi scattered,Large"</formula1>
    </dataValidation>
    <dataValidation type="list" allowBlank="1" sqref="D115">
      <formula1>"Internal road WBM+bituminous,Internal road WMM+bituminous,CC pavement (vacuum dewatered),Footpath (PCC+paver+kerb)"</formula1>
    </dataValidation>
    <dataValidation type="list" allowBlank="1" sqref="D117">
      <formula1>"Filtered - distribution upto 100mm,Filtered - peripheral grid 150-300mm,Unfiltered distribution"</formula1>
    </dataValidation>
    <dataValidation type="list" allowBlank="1" sqref="D121">
      <formula1>"Brickwork+RCC columns,Precast RCC panel"</formula1>
    </dataValidation>
    <dataValidation type="list" sqref="C131">
      <formula1>"Yes,No"</formula1>
    </dataValidation>
    <dataValidation type="list" sqref="C132">
      <formula1>"Yes,No"</formula1>
    </dataValidation>
    <dataValidation type="list" sqref="C133">
      <formula1>"Yes,No"</formula1>
    </dataValidation>
    <dataValidation type="list" sqref="C134">
      <formula1>"Yes,No"</formula1>
    </dataValidation>
    <dataValidation type="list" sqref="C135">
      <formula1>"Yes,No"</formula1>
    </dataValidation>
    <dataValidation type="list" sqref="C136">
      <formula1>"Yes,No"</formula1>
    </dataValidation>
    <dataValidation type="list" sqref="C137">
      <formula1>"Yes,No"</formula1>
    </dataValidation>
    <dataValidation type="list" sqref="C139">
      <formula1>"Yes,No"</formula1>
    </dataValidation>
    <dataValidation type="list" sqref="C140">
      <formula1>"Yes,No"</formula1>
    </dataValidation>
    <dataValidation type="list" sqref="C141">
      <formula1>"Yes,No"</formula1>
    </dataValidation>
    <dataValidation type="list" sqref="C142">
      <formula1>"Yes,No"</formula1>
    </dataValidation>
    <dataValidation type="list" sqref="C144">
      <formula1>"Yes,No"</formula1>
    </dataValidation>
    <dataValidation type="list" sqref="C145">
      <formula1>"Yes,No"</formula1>
    </dataValidation>
    <dataValidation type="list" sqref="C147">
      <formula1>"Yes,No"</formula1>
    </dataValidation>
    <dataValidation type="list" sqref="C148">
      <formula1>"Yes,No"</formula1>
    </dataValidation>
    <dataValidation type="list" sqref="C149">
      <formula1>"Yes,No"</formula1>
    </dataValidation>
    <dataValidation type="list" sqref="C150">
      <formula1>"Yes,No"</formula1>
    </dataValidation>
    <dataValidation type="list" sqref="C151">
      <formula1>"Yes,No"</formula1>
    </dataValidation>
    <dataValidation type="list" sqref="C152">
      <formula1>"Yes,No"</formula1>
    </dataValidation>
    <dataValidation type="list" sqref="C154">
      <formula1>"Yes,No"</formula1>
    </dataValidation>
    <dataValidation type="list" sqref="C156">
      <formula1>"Yes,No"</formula1>
    </dataValidation>
    <dataValidation type="list" sqref="C157">
      <formula1>"Yes,No"</formula1>
    </dataValidation>
    <dataValidation type="list" sqref="C158">
      <formula1>"Yes,No"</formula1>
    </dataValidation>
    <dataValidation type="list" sqref="C159">
      <formula1>"Yes,No"</formula1>
    </dataValidation>
    <dataValidation type="list" sqref="C160">
      <formula1>"Yes,No"</formula1>
    </dataValidation>
    <dataValidation type="list" sqref="C162">
      <formula1>"Yes,No"</formula1>
    </dataValidation>
    <dataValidation type="list" sqref="C169">
      <formula1>"Yes,No"</formula1>
    </dataValidation>
    <dataValidation type="list" sqref="C170">
      <formula1>"Yes,No"</formula1>
    </dataValidation>
    <dataValidation type="list" sqref="C171">
      <formula1>"Yes,No"</formula1>
    </dataValidation>
    <dataValidation type="list" sqref="C172">
      <formula1>"Yes,No"</formula1>
    </dataValidation>
    <dataValidation type="list" sqref="C173">
      <formula1>"Yes,No"</formula1>
    </dataValidation>
    <dataValidation type="list" sqref="C174">
      <formula1>"Yes,No"</formula1>
    </dataValidation>
    <dataValidation type="list" sqref="C175">
      <formula1>"Yes,No"</formula1>
    </dataValidation>
    <dataValidation type="list" sqref="C176">
      <formula1>"Yes,No"</formula1>
    </dataValidation>
    <dataValidation type="list" sqref="C177">
      <formula1>"Yes,No"</formula1>
    </dataValidation>
    <dataValidation type="list" sqref="C178">
      <formula1>"Yes,No"</formula1>
    </dataValidation>
  </dataValidations>
  <pageMargins left="0.75" right="0.75" top="1" bottom="1" header="0.5" footer="0.5"/>
  <legacyDrawing r:id="rId1"/>
  <extLst>
    <ext xmlns:x14="http://schemas.microsoft.com/office/spreadsheetml/2009/9/main" uri="{CCE6A557-97BC-4b89-ADB6-D9C93CAAB3DF}">
      <x14:dataValidations xmlns:xm="http://schemas.microsoft.com/office/excel/2006/main" count="1">
        <x14:dataValidation type="list" allowBlank="1">
          <x14:formula1>
            <xm:f>'04 Lifts'!$I$5:$I$17</xm:f>
          </x14:formula1>
          <xm:sqref>A94 A95 A96 A97 A98 A99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4"/>
  <sheetViews>
    <sheetView showGridLines="0" workbookViewId="0">
      <pane ySplit="4" topLeftCell="A14" activePane="bottomLeft" state="frozen"/>
      <selection pane="bottomLeft" activeCell="B54" sqref="B54"/>
    </sheetView>
  </sheetViews>
  <sheetFormatPr defaultRowHeight="14.4" x14ac:dyDescent="0.3"/>
  <cols>
    <col min="1" max="1" width="14" customWidth="1"/>
    <col min="2" max="2" width="44.109375" customWidth="1"/>
    <col min="3" max="3" width="29.44140625" customWidth="1"/>
    <col min="4" max="4" width="24" customWidth="1"/>
    <col min="5" max="5" width="12.21875" customWidth="1"/>
    <col min="6" max="6" width="10.44140625" customWidth="1"/>
  </cols>
  <sheetData>
    <row r="1" spans="1:6" ht="18" customHeight="1" x14ac:dyDescent="0.3">
      <c r="A1" s="5" t="s">
        <v>324</v>
      </c>
    </row>
    <row r="2" spans="1:6" x14ac:dyDescent="0.3">
      <c r="A2" s="6" t="s">
        <v>325</v>
      </c>
    </row>
    <row r="4" spans="1:6" ht="28.8" customHeight="1" x14ac:dyDescent="0.3">
      <c r="A4" s="1" t="s">
        <v>326</v>
      </c>
      <c r="B4" s="1" t="s">
        <v>327</v>
      </c>
      <c r="C4" s="1" t="s">
        <v>328</v>
      </c>
      <c r="D4" s="1" t="s">
        <v>329</v>
      </c>
      <c r="E4" s="1" t="s">
        <v>330</v>
      </c>
      <c r="F4" s="1" t="s">
        <v>181</v>
      </c>
    </row>
    <row r="5" spans="1:6" x14ac:dyDescent="0.3">
      <c r="A5" s="2" t="s">
        <v>331</v>
      </c>
      <c r="B5" s="2" t="s">
        <v>332</v>
      </c>
      <c r="C5" s="2" t="s">
        <v>333</v>
      </c>
      <c r="D5" s="2" t="s">
        <v>49</v>
      </c>
      <c r="E5" s="2" t="s">
        <v>66</v>
      </c>
      <c r="F5" s="3">
        <v>30920</v>
      </c>
    </row>
    <row r="6" spans="1:6" x14ac:dyDescent="0.3">
      <c r="A6" s="2" t="s">
        <v>331</v>
      </c>
      <c r="B6" s="2" t="s">
        <v>332</v>
      </c>
      <c r="C6" s="2" t="s">
        <v>333</v>
      </c>
      <c r="D6" s="2" t="s">
        <v>334</v>
      </c>
      <c r="E6" s="2" t="s">
        <v>66</v>
      </c>
      <c r="F6" s="3">
        <v>31990</v>
      </c>
    </row>
    <row r="7" spans="1:6" x14ac:dyDescent="0.3">
      <c r="A7" s="2" t="s">
        <v>331</v>
      </c>
      <c r="B7" s="2" t="s">
        <v>332</v>
      </c>
      <c r="C7" s="2" t="s">
        <v>333</v>
      </c>
      <c r="D7" s="2" t="s">
        <v>335</v>
      </c>
      <c r="E7" s="2" t="s">
        <v>66</v>
      </c>
      <c r="F7" s="3">
        <v>23530</v>
      </c>
    </row>
    <row r="8" spans="1:6" x14ac:dyDescent="0.3">
      <c r="A8" s="2" t="s">
        <v>331</v>
      </c>
      <c r="B8" s="2" t="s">
        <v>332</v>
      </c>
      <c r="C8" s="2" t="s">
        <v>333</v>
      </c>
      <c r="D8" s="2" t="s">
        <v>336</v>
      </c>
      <c r="E8" s="2" t="s">
        <v>66</v>
      </c>
      <c r="F8" s="2"/>
    </row>
    <row r="9" spans="1:6" x14ac:dyDescent="0.3">
      <c r="A9" s="2" t="s">
        <v>337</v>
      </c>
      <c r="B9" s="2" t="s">
        <v>332</v>
      </c>
      <c r="C9" s="2" t="s">
        <v>338</v>
      </c>
      <c r="D9" s="2" t="s">
        <v>49</v>
      </c>
      <c r="E9" s="2" t="s">
        <v>66</v>
      </c>
      <c r="F9" s="2"/>
    </row>
    <row r="10" spans="1:6" x14ac:dyDescent="0.3">
      <c r="A10" s="2" t="s">
        <v>337</v>
      </c>
      <c r="B10" s="2" t="s">
        <v>332</v>
      </c>
      <c r="C10" s="2" t="s">
        <v>338</v>
      </c>
      <c r="D10" s="2" t="s">
        <v>334</v>
      </c>
      <c r="E10" s="2" t="s">
        <v>66</v>
      </c>
      <c r="F10" s="2"/>
    </row>
    <row r="11" spans="1:6" x14ac:dyDescent="0.3">
      <c r="A11" s="2" t="s">
        <v>337</v>
      </c>
      <c r="B11" s="2" t="s">
        <v>332</v>
      </c>
      <c r="C11" s="2" t="s">
        <v>338</v>
      </c>
      <c r="D11" s="2" t="s">
        <v>335</v>
      </c>
      <c r="E11" s="2" t="s">
        <v>66</v>
      </c>
      <c r="F11" s="2"/>
    </row>
    <row r="12" spans="1:6" x14ac:dyDescent="0.3">
      <c r="A12" s="2" t="s">
        <v>337</v>
      </c>
      <c r="B12" s="2" t="s">
        <v>332</v>
      </c>
      <c r="C12" s="2" t="s">
        <v>338</v>
      </c>
      <c r="D12" s="2" t="s">
        <v>336</v>
      </c>
      <c r="E12" s="2" t="s">
        <v>66</v>
      </c>
      <c r="F12" s="3">
        <v>24410</v>
      </c>
    </row>
    <row r="13" spans="1:6" ht="28.8" customHeight="1" x14ac:dyDescent="0.3">
      <c r="A13" s="2" t="s">
        <v>339</v>
      </c>
      <c r="B13" s="2" t="s">
        <v>340</v>
      </c>
      <c r="C13" s="2" t="s">
        <v>333</v>
      </c>
      <c r="D13" s="2" t="s">
        <v>49</v>
      </c>
      <c r="E13" s="2" t="s">
        <v>66</v>
      </c>
      <c r="F13" s="3">
        <v>26280</v>
      </c>
    </row>
    <row r="14" spans="1:6" ht="28.8" customHeight="1" x14ac:dyDescent="0.3">
      <c r="A14" s="2" t="s">
        <v>339</v>
      </c>
      <c r="B14" s="2" t="s">
        <v>340</v>
      </c>
      <c r="C14" s="2" t="s">
        <v>333</v>
      </c>
      <c r="D14" s="2" t="s">
        <v>334</v>
      </c>
      <c r="E14" s="2" t="s">
        <v>66</v>
      </c>
      <c r="F14" s="3">
        <v>27190</v>
      </c>
    </row>
    <row r="15" spans="1:6" ht="28.8" customHeight="1" x14ac:dyDescent="0.3">
      <c r="A15" s="2" t="s">
        <v>339</v>
      </c>
      <c r="B15" s="2" t="s">
        <v>340</v>
      </c>
      <c r="C15" s="2" t="s">
        <v>333</v>
      </c>
      <c r="D15" s="2" t="s">
        <v>335</v>
      </c>
      <c r="E15" s="2" t="s">
        <v>66</v>
      </c>
      <c r="F15" s="3">
        <v>20000</v>
      </c>
    </row>
    <row r="16" spans="1:6" ht="28.8" customHeight="1" x14ac:dyDescent="0.3">
      <c r="A16" s="2" t="s">
        <v>339</v>
      </c>
      <c r="B16" s="2" t="s">
        <v>340</v>
      </c>
      <c r="C16" s="2" t="s">
        <v>333</v>
      </c>
      <c r="D16" s="2" t="s">
        <v>336</v>
      </c>
      <c r="E16" s="2" t="s">
        <v>66</v>
      </c>
      <c r="F16" s="2"/>
    </row>
    <row r="17" spans="1:6" ht="28.8" customHeight="1" x14ac:dyDescent="0.3">
      <c r="A17" s="2" t="s">
        <v>341</v>
      </c>
      <c r="B17" s="2" t="s">
        <v>340</v>
      </c>
      <c r="C17" s="2" t="s">
        <v>338</v>
      </c>
      <c r="D17" s="2" t="s">
        <v>49</v>
      </c>
      <c r="E17" s="2" t="s">
        <v>66</v>
      </c>
      <c r="F17" s="2"/>
    </row>
    <row r="18" spans="1:6" ht="28.8" customHeight="1" x14ac:dyDescent="0.3">
      <c r="A18" s="2" t="s">
        <v>341</v>
      </c>
      <c r="B18" s="2" t="s">
        <v>340</v>
      </c>
      <c r="C18" s="2" t="s">
        <v>338</v>
      </c>
      <c r="D18" s="2" t="s">
        <v>334</v>
      </c>
      <c r="E18" s="2" t="s">
        <v>66</v>
      </c>
      <c r="F18" s="2"/>
    </row>
    <row r="19" spans="1:6" ht="28.8" customHeight="1" x14ac:dyDescent="0.3">
      <c r="A19" s="2" t="s">
        <v>341</v>
      </c>
      <c r="B19" s="2" t="s">
        <v>340</v>
      </c>
      <c r="C19" s="2" t="s">
        <v>338</v>
      </c>
      <c r="D19" s="2" t="s">
        <v>335</v>
      </c>
      <c r="E19" s="2" t="s">
        <v>66</v>
      </c>
      <c r="F19" s="2"/>
    </row>
    <row r="20" spans="1:6" ht="28.8" customHeight="1" x14ac:dyDescent="0.3">
      <c r="A20" s="2" t="s">
        <v>341</v>
      </c>
      <c r="B20" s="2" t="s">
        <v>340</v>
      </c>
      <c r="C20" s="2" t="s">
        <v>338</v>
      </c>
      <c r="D20" s="2" t="s">
        <v>336</v>
      </c>
      <c r="E20" s="2" t="s">
        <v>66</v>
      </c>
      <c r="F20" s="3">
        <v>20750</v>
      </c>
    </row>
    <row r="21" spans="1:6" ht="28.8" customHeight="1" x14ac:dyDescent="0.3">
      <c r="A21" s="2" t="s">
        <v>342</v>
      </c>
      <c r="B21" s="2" t="s">
        <v>343</v>
      </c>
      <c r="C21" s="2" t="s">
        <v>344</v>
      </c>
      <c r="D21" s="2" t="s">
        <v>345</v>
      </c>
      <c r="E21" s="2" t="s">
        <v>66</v>
      </c>
      <c r="F21" s="3">
        <v>123</v>
      </c>
    </row>
    <row r="22" spans="1:6" ht="57.6" customHeight="1" x14ac:dyDescent="0.3">
      <c r="A22" s="2" t="s">
        <v>90</v>
      </c>
      <c r="B22" s="2" t="s">
        <v>343</v>
      </c>
      <c r="C22" s="2" t="s">
        <v>346</v>
      </c>
      <c r="D22" s="2" t="s">
        <v>347</v>
      </c>
      <c r="E22" s="2" t="s">
        <v>66</v>
      </c>
      <c r="F22" s="3">
        <v>434</v>
      </c>
    </row>
    <row r="23" spans="1:6" ht="57.6" customHeight="1" x14ac:dyDescent="0.3">
      <c r="A23" s="2" t="s">
        <v>92</v>
      </c>
      <c r="B23" s="2" t="s">
        <v>343</v>
      </c>
      <c r="C23" s="2" t="s">
        <v>348</v>
      </c>
      <c r="D23" s="2" t="s">
        <v>347</v>
      </c>
      <c r="E23" s="2" t="s">
        <v>66</v>
      </c>
      <c r="F23" s="3">
        <v>470</v>
      </c>
    </row>
    <row r="24" spans="1:6" ht="57.6" customHeight="1" x14ac:dyDescent="0.3">
      <c r="A24" s="2" t="s">
        <v>95</v>
      </c>
      <c r="B24" s="2" t="s">
        <v>343</v>
      </c>
      <c r="C24" s="2" t="s">
        <v>349</v>
      </c>
      <c r="D24" s="2" t="s">
        <v>347</v>
      </c>
      <c r="E24" s="2" t="s">
        <v>66</v>
      </c>
      <c r="F24" s="3">
        <v>205</v>
      </c>
    </row>
    <row r="25" spans="1:6" ht="43.2" customHeight="1" x14ac:dyDescent="0.3">
      <c r="A25" s="2" t="s">
        <v>98</v>
      </c>
      <c r="B25" s="2" t="s">
        <v>343</v>
      </c>
      <c r="C25" s="2" t="s">
        <v>350</v>
      </c>
      <c r="D25" s="2" t="s">
        <v>351</v>
      </c>
      <c r="E25" s="2" t="s">
        <v>66</v>
      </c>
      <c r="F25" s="3">
        <v>1800</v>
      </c>
    </row>
    <row r="26" spans="1:6" ht="43.2" customHeight="1" x14ac:dyDescent="0.3">
      <c r="A26" s="2" t="s">
        <v>98</v>
      </c>
      <c r="B26" s="2" t="s">
        <v>343</v>
      </c>
      <c r="C26" s="2" t="s">
        <v>350</v>
      </c>
      <c r="D26" s="2" t="s">
        <v>352</v>
      </c>
      <c r="E26" s="2" t="s">
        <v>66</v>
      </c>
      <c r="F26" s="3">
        <v>700</v>
      </c>
    </row>
    <row r="27" spans="1:6" x14ac:dyDescent="0.3">
      <c r="A27" s="2" t="s">
        <v>101</v>
      </c>
      <c r="B27" s="2" t="s">
        <v>353</v>
      </c>
      <c r="C27" s="2" t="s">
        <v>354</v>
      </c>
      <c r="D27" s="2" t="s">
        <v>345</v>
      </c>
      <c r="E27" s="2" t="s">
        <v>66</v>
      </c>
      <c r="F27" s="3">
        <v>12765</v>
      </c>
    </row>
    <row r="28" spans="1:6" x14ac:dyDescent="0.3">
      <c r="A28" s="2" t="s">
        <v>103</v>
      </c>
      <c r="B28" s="2" t="s">
        <v>355</v>
      </c>
      <c r="C28" s="2" t="s">
        <v>354</v>
      </c>
      <c r="D28" s="2" t="s">
        <v>345</v>
      </c>
      <c r="E28" s="2" t="s">
        <v>66</v>
      </c>
      <c r="F28" s="3">
        <v>22240</v>
      </c>
    </row>
    <row r="29" spans="1:6" ht="28.8" customHeight="1" x14ac:dyDescent="0.3">
      <c r="A29" s="2" t="s">
        <v>105</v>
      </c>
      <c r="B29" s="2" t="s">
        <v>356</v>
      </c>
      <c r="C29" s="2" t="s">
        <v>354</v>
      </c>
      <c r="D29" s="2" t="s">
        <v>345</v>
      </c>
      <c r="E29" s="2" t="s">
        <v>66</v>
      </c>
      <c r="F29" s="3">
        <v>2265</v>
      </c>
    </row>
    <row r="30" spans="1:6" ht="28.8" customHeight="1" x14ac:dyDescent="0.3">
      <c r="A30" s="2" t="s">
        <v>107</v>
      </c>
      <c r="B30" s="2" t="s">
        <v>357</v>
      </c>
      <c r="C30" s="2" t="s">
        <v>347</v>
      </c>
      <c r="D30" s="2" t="s">
        <v>345</v>
      </c>
      <c r="E30" s="2" t="s">
        <v>66</v>
      </c>
      <c r="F30" s="3">
        <v>2070</v>
      </c>
    </row>
    <row r="31" spans="1:6" ht="43.2" customHeight="1" x14ac:dyDescent="0.3">
      <c r="A31" s="2" t="s">
        <v>110</v>
      </c>
      <c r="B31" s="2" t="s">
        <v>358</v>
      </c>
      <c r="C31" s="2" t="s">
        <v>359</v>
      </c>
      <c r="D31" s="2" t="s">
        <v>345</v>
      </c>
      <c r="E31" s="2" t="s">
        <v>66</v>
      </c>
      <c r="F31" s="3">
        <v>23170</v>
      </c>
    </row>
    <row r="32" spans="1:6" ht="57.6" customHeight="1" x14ac:dyDescent="0.3">
      <c r="A32" s="2" t="s">
        <v>113</v>
      </c>
      <c r="B32" s="2" t="s">
        <v>358</v>
      </c>
      <c r="C32" s="2" t="s">
        <v>360</v>
      </c>
      <c r="D32" s="2" t="s">
        <v>347</v>
      </c>
      <c r="E32" s="2" t="s">
        <v>66</v>
      </c>
      <c r="F32" s="3">
        <v>1140</v>
      </c>
    </row>
    <row r="33" spans="1:6" x14ac:dyDescent="0.3">
      <c r="A33" s="2" t="s">
        <v>361</v>
      </c>
      <c r="B33" s="2" t="s">
        <v>362</v>
      </c>
      <c r="C33" s="2" t="s">
        <v>363</v>
      </c>
      <c r="D33" s="2" t="s">
        <v>345</v>
      </c>
      <c r="E33" s="2" t="s">
        <v>66</v>
      </c>
      <c r="F33" s="3">
        <v>460</v>
      </c>
    </row>
    <row r="34" spans="1:6" x14ac:dyDescent="0.3">
      <c r="A34" s="2" t="s">
        <v>364</v>
      </c>
      <c r="B34" s="2" t="s">
        <v>362</v>
      </c>
      <c r="C34" s="2" t="s">
        <v>365</v>
      </c>
      <c r="D34" s="2" t="s">
        <v>345</v>
      </c>
      <c r="E34" s="2" t="s">
        <v>66</v>
      </c>
      <c r="F34" s="3">
        <v>890</v>
      </c>
    </row>
    <row r="35" spans="1:6" ht="28.8" x14ac:dyDescent="0.3">
      <c r="A35" s="2" t="s">
        <v>366</v>
      </c>
      <c r="B35" s="2" t="s">
        <v>362</v>
      </c>
      <c r="C35" s="2" t="s">
        <v>367</v>
      </c>
      <c r="D35" s="2" t="s">
        <v>345</v>
      </c>
      <c r="E35" s="2" t="s">
        <v>66</v>
      </c>
      <c r="F35" s="3">
        <v>1200</v>
      </c>
    </row>
    <row r="36" spans="1:6" x14ac:dyDescent="0.3">
      <c r="A36" s="2" t="s">
        <v>368</v>
      </c>
      <c r="B36" s="2" t="s">
        <v>369</v>
      </c>
      <c r="C36" s="2" t="s">
        <v>370</v>
      </c>
      <c r="D36" s="2" t="s">
        <v>345</v>
      </c>
      <c r="E36" s="2" t="s">
        <v>66</v>
      </c>
      <c r="F36" s="3">
        <v>280</v>
      </c>
    </row>
    <row r="37" spans="1:6" x14ac:dyDescent="0.3">
      <c r="A37" s="2" t="s">
        <v>371</v>
      </c>
      <c r="B37" s="2" t="s">
        <v>369</v>
      </c>
      <c r="C37" s="2" t="s">
        <v>372</v>
      </c>
      <c r="D37" s="2" t="s">
        <v>345</v>
      </c>
      <c r="E37" s="2" t="s">
        <v>66</v>
      </c>
      <c r="F37" s="3">
        <v>600</v>
      </c>
    </row>
    <row r="38" spans="1:6" ht="43.2" customHeight="1" x14ac:dyDescent="0.3">
      <c r="A38" s="2" t="s">
        <v>115</v>
      </c>
      <c r="B38" s="2" t="s">
        <v>373</v>
      </c>
      <c r="C38" s="2" t="s">
        <v>374</v>
      </c>
      <c r="D38" s="2" t="s">
        <v>345</v>
      </c>
      <c r="E38" s="2" t="s">
        <v>66</v>
      </c>
      <c r="F38" s="3">
        <v>1050</v>
      </c>
    </row>
    <row r="39" spans="1:6" ht="43.2" customHeight="1" x14ac:dyDescent="0.3">
      <c r="A39" s="2" t="s">
        <v>118</v>
      </c>
      <c r="B39" s="2" t="s">
        <v>375</v>
      </c>
      <c r="C39" s="2" t="s">
        <v>376</v>
      </c>
      <c r="D39" s="2" t="s">
        <v>345</v>
      </c>
      <c r="E39" s="2" t="s">
        <v>66</v>
      </c>
      <c r="F39" s="3">
        <v>9870</v>
      </c>
    </row>
    <row r="40" spans="1:6" ht="28.8" customHeight="1" x14ac:dyDescent="0.3">
      <c r="A40" s="2" t="s">
        <v>120</v>
      </c>
      <c r="B40" s="2" t="s">
        <v>375</v>
      </c>
      <c r="C40" s="2" t="s">
        <v>377</v>
      </c>
      <c r="D40" s="2" t="s">
        <v>378</v>
      </c>
      <c r="E40" s="2" t="s">
        <v>66</v>
      </c>
      <c r="F40" s="3">
        <v>235</v>
      </c>
    </row>
    <row r="43" spans="1:6" x14ac:dyDescent="0.3">
      <c r="A43" t="s">
        <v>379</v>
      </c>
      <c r="B43" s="9" t="s">
        <v>380</v>
      </c>
    </row>
    <row r="44" spans="1:6" x14ac:dyDescent="0.3">
      <c r="B44" t="s">
        <v>381</v>
      </c>
    </row>
    <row r="45" spans="1:6" x14ac:dyDescent="0.3">
      <c r="B45" s="10" t="s">
        <v>382</v>
      </c>
    </row>
    <row r="46" spans="1:6" x14ac:dyDescent="0.3">
      <c r="B46" s="10" t="s">
        <v>383</v>
      </c>
    </row>
    <row r="47" spans="1:6" x14ac:dyDescent="0.3">
      <c r="B47" s="10" t="s">
        <v>384</v>
      </c>
    </row>
    <row r="48" spans="1:6" x14ac:dyDescent="0.3">
      <c r="B48" s="10" t="s">
        <v>385</v>
      </c>
    </row>
    <row r="49" spans="2:2" x14ac:dyDescent="0.3">
      <c r="B49" s="10" t="s">
        <v>386</v>
      </c>
    </row>
    <row r="50" spans="2:2" x14ac:dyDescent="0.3">
      <c r="B50" t="s">
        <v>387</v>
      </c>
    </row>
    <row r="51" spans="2:2" x14ac:dyDescent="0.3">
      <c r="B51" t="s">
        <v>388</v>
      </c>
    </row>
    <row r="52" spans="2:2" x14ac:dyDescent="0.3">
      <c r="B52" s="9" t="s">
        <v>389</v>
      </c>
    </row>
    <row r="53" spans="2:2" x14ac:dyDescent="0.3">
      <c r="B53" s="10" t="s">
        <v>390</v>
      </c>
    </row>
    <row r="54" spans="2:2" x14ac:dyDescent="0.3">
      <c r="B54" s="10" t="s">
        <v>391</v>
      </c>
    </row>
  </sheetData>
  <pageMargins left="0.25" right="0.25" top="0.5" bottom="0.5" header="0.5" footer="0.5"/>
  <pageSetup fitToHeight="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8"/>
  <sheetViews>
    <sheetView showGridLines="0" workbookViewId="0">
      <pane ySplit="4" topLeftCell="A5" activePane="bottomLeft" state="frozen"/>
      <selection pane="bottomLeft" activeCell="B25" sqref="B25"/>
    </sheetView>
  </sheetViews>
  <sheetFormatPr defaultRowHeight="14.4" x14ac:dyDescent="0.3"/>
  <cols>
    <col min="1" max="1" width="14" customWidth="1"/>
    <col min="2" max="2" width="43" customWidth="1"/>
    <col min="3" max="3" width="32" customWidth="1"/>
    <col min="4" max="4" width="24" customWidth="1"/>
    <col min="5" max="5" width="13.21875" customWidth="1"/>
  </cols>
  <sheetData>
    <row r="1" spans="1:5" ht="18" customHeight="1" x14ac:dyDescent="0.3">
      <c r="A1" s="5" t="s">
        <v>392</v>
      </c>
    </row>
    <row r="2" spans="1:5" x14ac:dyDescent="0.3">
      <c r="A2" s="6" t="s">
        <v>393</v>
      </c>
    </row>
    <row r="4" spans="1:5" x14ac:dyDescent="0.3">
      <c r="A4" s="1" t="s">
        <v>326</v>
      </c>
      <c r="B4" s="1" t="s">
        <v>394</v>
      </c>
      <c r="C4" s="1" t="s">
        <v>395</v>
      </c>
      <c r="D4" s="1" t="s">
        <v>396</v>
      </c>
      <c r="E4" s="1" t="s">
        <v>397</v>
      </c>
    </row>
    <row r="5" spans="1:5" x14ac:dyDescent="0.3">
      <c r="A5" s="2" t="s">
        <v>131</v>
      </c>
      <c r="B5" s="2" t="s">
        <v>132</v>
      </c>
      <c r="C5" s="2" t="s">
        <v>49</v>
      </c>
      <c r="D5" s="2" t="s">
        <v>398</v>
      </c>
      <c r="E5" s="3">
        <v>4</v>
      </c>
    </row>
    <row r="6" spans="1:5" x14ac:dyDescent="0.3">
      <c r="A6" s="2" t="s">
        <v>131</v>
      </c>
      <c r="B6" s="2" t="s">
        <v>132</v>
      </c>
      <c r="C6" s="2" t="s">
        <v>334</v>
      </c>
      <c r="D6" s="2" t="s">
        <v>398</v>
      </c>
      <c r="E6" s="3">
        <v>10</v>
      </c>
    </row>
    <row r="7" spans="1:5" x14ac:dyDescent="0.3">
      <c r="A7" s="2" t="s">
        <v>131</v>
      </c>
      <c r="B7" s="2" t="s">
        <v>132</v>
      </c>
      <c r="C7" s="2" t="s">
        <v>335</v>
      </c>
      <c r="D7" s="2" t="s">
        <v>398</v>
      </c>
      <c r="E7" s="3">
        <v>5</v>
      </c>
    </row>
    <row r="8" spans="1:5" x14ac:dyDescent="0.3">
      <c r="A8" s="2" t="s">
        <v>131</v>
      </c>
      <c r="B8" s="2" t="s">
        <v>132</v>
      </c>
      <c r="C8" s="2" t="s">
        <v>399</v>
      </c>
      <c r="D8" s="2" t="s">
        <v>398</v>
      </c>
      <c r="E8" s="3">
        <v>12</v>
      </c>
    </row>
    <row r="9" spans="1:5" x14ac:dyDescent="0.3">
      <c r="A9" s="2" t="s">
        <v>131</v>
      </c>
      <c r="B9" s="2" t="s">
        <v>132</v>
      </c>
      <c r="C9" s="2" t="s">
        <v>400</v>
      </c>
      <c r="D9" s="2" t="s">
        <v>398</v>
      </c>
      <c r="E9" s="3">
        <v>8</v>
      </c>
    </row>
    <row r="10" spans="1:5" x14ac:dyDescent="0.3">
      <c r="A10" s="2" t="s">
        <v>131</v>
      </c>
      <c r="B10" s="2" t="s">
        <v>132</v>
      </c>
      <c r="C10" s="2" t="s">
        <v>401</v>
      </c>
      <c r="D10" s="2" t="s">
        <v>398</v>
      </c>
      <c r="E10" s="3">
        <v>9</v>
      </c>
    </row>
    <row r="11" spans="1:5" x14ac:dyDescent="0.3">
      <c r="A11" s="2" t="s">
        <v>133</v>
      </c>
      <c r="B11" s="2" t="s">
        <v>134</v>
      </c>
      <c r="C11" s="2" t="s">
        <v>402</v>
      </c>
      <c r="D11" s="2" t="s">
        <v>398</v>
      </c>
      <c r="E11" s="4">
        <v>3.75</v>
      </c>
    </row>
    <row r="12" spans="1:5" x14ac:dyDescent="0.3">
      <c r="A12" s="2" t="s">
        <v>135</v>
      </c>
      <c r="B12" s="2" t="s">
        <v>136</v>
      </c>
      <c r="C12" s="2" t="s">
        <v>402</v>
      </c>
      <c r="D12" s="2" t="s">
        <v>398</v>
      </c>
      <c r="E12" s="4">
        <v>1.25</v>
      </c>
    </row>
    <row r="13" spans="1:5" x14ac:dyDescent="0.3">
      <c r="A13" s="2" t="s">
        <v>137</v>
      </c>
      <c r="B13" s="2" t="s">
        <v>403</v>
      </c>
      <c r="C13" s="2" t="s">
        <v>402</v>
      </c>
      <c r="D13" s="2" t="s">
        <v>398</v>
      </c>
      <c r="E13" s="4">
        <v>1.25</v>
      </c>
    </row>
    <row r="14" spans="1:5" x14ac:dyDescent="0.3">
      <c r="A14" s="2" t="s">
        <v>139</v>
      </c>
      <c r="B14" s="2" t="s">
        <v>140</v>
      </c>
      <c r="C14" s="2" t="s">
        <v>402</v>
      </c>
      <c r="D14" s="2" t="s">
        <v>398</v>
      </c>
      <c r="E14" s="4">
        <v>12.5</v>
      </c>
    </row>
    <row r="15" spans="1:5" x14ac:dyDescent="0.3">
      <c r="A15" s="2" t="s">
        <v>141</v>
      </c>
      <c r="B15" s="2" t="s">
        <v>142</v>
      </c>
      <c r="C15" s="2" t="s">
        <v>402</v>
      </c>
      <c r="D15" s="2" t="s">
        <v>398</v>
      </c>
      <c r="E15" s="3">
        <v>4</v>
      </c>
    </row>
    <row r="16" spans="1:5" x14ac:dyDescent="0.3">
      <c r="A16" s="2" t="s">
        <v>143</v>
      </c>
      <c r="B16" s="2" t="s">
        <v>144</v>
      </c>
      <c r="C16" s="2" t="s">
        <v>49</v>
      </c>
      <c r="D16" s="2" t="s">
        <v>398</v>
      </c>
      <c r="E16" s="4">
        <v>0.25</v>
      </c>
    </row>
    <row r="17" spans="1:5" x14ac:dyDescent="0.3">
      <c r="A17" s="2" t="s">
        <v>143</v>
      </c>
      <c r="B17" s="2" t="s">
        <v>144</v>
      </c>
      <c r="C17" s="2" t="s">
        <v>334</v>
      </c>
      <c r="D17" s="2" t="s">
        <v>398</v>
      </c>
      <c r="E17" s="4">
        <v>0.25</v>
      </c>
    </row>
    <row r="18" spans="1:5" x14ac:dyDescent="0.3">
      <c r="A18" s="2" t="s">
        <v>143</v>
      </c>
      <c r="B18" s="2" t="s">
        <v>144</v>
      </c>
      <c r="C18" s="2" t="s">
        <v>335</v>
      </c>
      <c r="D18" s="2" t="s">
        <v>398</v>
      </c>
      <c r="E18" s="4">
        <v>0.25</v>
      </c>
    </row>
    <row r="19" spans="1:5" x14ac:dyDescent="0.3">
      <c r="A19" s="2" t="s">
        <v>143</v>
      </c>
      <c r="B19" s="2" t="s">
        <v>144</v>
      </c>
      <c r="C19" s="2" t="s">
        <v>404</v>
      </c>
      <c r="D19" s="2" t="s">
        <v>398</v>
      </c>
      <c r="E19" s="4">
        <v>0.25</v>
      </c>
    </row>
    <row r="20" spans="1:5" x14ac:dyDescent="0.3">
      <c r="A20" s="2" t="s">
        <v>143</v>
      </c>
      <c r="B20" s="2" t="s">
        <v>144</v>
      </c>
      <c r="C20" s="2" t="s">
        <v>401</v>
      </c>
      <c r="D20" s="2" t="s">
        <v>398</v>
      </c>
      <c r="E20" s="2"/>
    </row>
    <row r="21" spans="1:5" x14ac:dyDescent="0.3">
      <c r="A21" s="2" t="s">
        <v>145</v>
      </c>
      <c r="B21" s="2" t="s">
        <v>146</v>
      </c>
      <c r="C21" s="2" t="s">
        <v>49</v>
      </c>
      <c r="D21" s="2" t="s">
        <v>398</v>
      </c>
      <c r="E21" s="4">
        <v>0.25</v>
      </c>
    </row>
    <row r="22" spans="1:5" x14ac:dyDescent="0.3">
      <c r="A22" s="2" t="s">
        <v>145</v>
      </c>
      <c r="B22" s="2" t="s">
        <v>146</v>
      </c>
      <c r="C22" s="2" t="s">
        <v>334</v>
      </c>
      <c r="D22" s="2" t="s">
        <v>398</v>
      </c>
      <c r="E22" s="4">
        <v>0.25</v>
      </c>
    </row>
    <row r="23" spans="1:5" x14ac:dyDescent="0.3">
      <c r="A23" s="2" t="s">
        <v>145</v>
      </c>
      <c r="B23" s="2" t="s">
        <v>146</v>
      </c>
      <c r="C23" s="2" t="s">
        <v>335</v>
      </c>
      <c r="D23" s="2" t="s">
        <v>398</v>
      </c>
      <c r="E23" s="4">
        <v>0.25</v>
      </c>
    </row>
    <row r="24" spans="1:5" x14ac:dyDescent="0.3">
      <c r="A24" s="2" t="s">
        <v>145</v>
      </c>
      <c r="B24" s="2" t="s">
        <v>146</v>
      </c>
      <c r="C24" s="2" t="s">
        <v>404</v>
      </c>
      <c r="D24" s="2" t="s">
        <v>398</v>
      </c>
      <c r="E24" s="4">
        <v>0.25</v>
      </c>
    </row>
    <row r="25" spans="1:5" x14ac:dyDescent="0.3">
      <c r="A25" s="2" t="s">
        <v>145</v>
      </c>
      <c r="B25" s="2" t="s">
        <v>146</v>
      </c>
      <c r="C25" s="2" t="s">
        <v>401</v>
      </c>
      <c r="D25" s="2" t="s">
        <v>398</v>
      </c>
      <c r="E25" s="2"/>
    </row>
    <row r="27" spans="1:5" x14ac:dyDescent="0.3">
      <c r="A27" s="8" t="s">
        <v>405</v>
      </c>
    </row>
    <row r="28" spans="1:5" x14ac:dyDescent="0.3">
      <c r="A28" s="7" t="s">
        <v>406</v>
      </c>
    </row>
  </sheetData>
  <pageMargins left="0.25" right="0.25" top="0.5" bottom="0.5" header="0.5" footer="0.5"/>
  <pageSetup fitToHeight="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6"/>
  <sheetViews>
    <sheetView showGridLines="0" workbookViewId="0">
      <pane ySplit="4" topLeftCell="A5" activePane="bottomLeft" state="frozen"/>
      <selection pane="bottomLeft" activeCell="E6" sqref="E6"/>
    </sheetView>
  </sheetViews>
  <sheetFormatPr defaultRowHeight="14.4" x14ac:dyDescent="0.3"/>
  <cols>
    <col min="1" max="1" width="14" customWidth="1"/>
    <col min="2" max="2" width="40" customWidth="1"/>
    <col min="3" max="3" width="32" customWidth="1"/>
    <col min="4" max="4" width="24" customWidth="1"/>
    <col min="5" max="5" width="20" customWidth="1"/>
  </cols>
  <sheetData>
    <row r="1" spans="1:5" ht="18" customHeight="1" x14ac:dyDescent="0.3">
      <c r="A1" s="5" t="s">
        <v>407</v>
      </c>
    </row>
    <row r="2" spans="1:5" x14ac:dyDescent="0.3">
      <c r="A2" s="6" t="s">
        <v>408</v>
      </c>
    </row>
    <row r="4" spans="1:5" x14ac:dyDescent="0.3">
      <c r="A4" s="1" t="s">
        <v>326</v>
      </c>
      <c r="B4" s="1" t="s">
        <v>394</v>
      </c>
      <c r="C4" s="1" t="s">
        <v>409</v>
      </c>
      <c r="D4" s="1" t="s">
        <v>396</v>
      </c>
      <c r="E4" s="1" t="s">
        <v>397</v>
      </c>
    </row>
    <row r="5" spans="1:5" ht="28.8" customHeight="1" x14ac:dyDescent="0.3">
      <c r="A5" s="2" t="s">
        <v>151</v>
      </c>
      <c r="B5" s="2" t="s">
        <v>410</v>
      </c>
      <c r="C5" s="2" t="s">
        <v>402</v>
      </c>
      <c r="D5" s="2" t="s">
        <v>411</v>
      </c>
      <c r="E5" s="3">
        <v>1</v>
      </c>
    </row>
    <row r="6" spans="1:5" ht="28.8" customHeight="1" x14ac:dyDescent="0.3">
      <c r="A6" s="2" t="s">
        <v>153</v>
      </c>
      <c r="B6" s="2" t="s">
        <v>412</v>
      </c>
      <c r="C6" s="2" t="s">
        <v>402</v>
      </c>
      <c r="D6" s="2" t="s">
        <v>411</v>
      </c>
      <c r="E6" s="4">
        <v>1.75</v>
      </c>
    </row>
  </sheetData>
  <pageMargins left="0.25" right="0.25" top="0.5" bottom="0.5" header="0.5" footer="0.5"/>
  <pageSetup fitToHeight="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7"/>
  <sheetViews>
    <sheetView showGridLines="0" workbookViewId="0">
      <pane ySplit="4" topLeftCell="A5" activePane="bottomLeft" state="frozen"/>
      <selection pane="bottomLeft" activeCell="A21" sqref="A21"/>
    </sheetView>
  </sheetViews>
  <sheetFormatPr defaultRowHeight="14.4" x14ac:dyDescent="0.3"/>
  <cols>
    <col min="1" max="1" width="14" customWidth="1"/>
    <col min="2" max="2" width="28.109375" customWidth="1"/>
    <col min="3" max="5" width="15.88671875" customWidth="1"/>
    <col min="6" max="6" width="12.21875" customWidth="1"/>
    <col min="7" max="8" width="18.5546875" customWidth="1"/>
  </cols>
  <sheetData>
    <row r="1" spans="1:9" ht="18" customHeight="1" x14ac:dyDescent="0.3">
      <c r="A1" s="5" t="s">
        <v>413</v>
      </c>
    </row>
    <row r="2" spans="1:9" x14ac:dyDescent="0.3">
      <c r="A2" s="6" t="s">
        <v>414</v>
      </c>
    </row>
    <row r="4" spans="1:9" ht="28.8" x14ac:dyDescent="0.3">
      <c r="A4" s="1" t="s">
        <v>326</v>
      </c>
      <c r="B4" s="1" t="s">
        <v>415</v>
      </c>
      <c r="C4" s="1" t="s">
        <v>416</v>
      </c>
      <c r="D4" s="1" t="s">
        <v>417</v>
      </c>
      <c r="E4" s="1" t="s">
        <v>418</v>
      </c>
      <c r="F4" s="1" t="s">
        <v>419</v>
      </c>
      <c r="G4" s="1" t="s">
        <v>420</v>
      </c>
      <c r="H4" s="25" t="s">
        <v>421</v>
      </c>
      <c r="I4" t="s">
        <v>422</v>
      </c>
    </row>
    <row r="5" spans="1:9" x14ac:dyDescent="0.3">
      <c r="A5" s="2" t="s">
        <v>423</v>
      </c>
      <c r="B5" s="2" t="s">
        <v>424</v>
      </c>
      <c r="C5" s="2" t="s">
        <v>425</v>
      </c>
      <c r="D5" s="2" t="s">
        <v>426</v>
      </c>
      <c r="E5" s="2" t="s">
        <v>427</v>
      </c>
      <c r="F5" s="4">
        <v>17.239999999999998</v>
      </c>
      <c r="G5" s="3">
        <v>99860</v>
      </c>
      <c r="H5" s="26">
        <f t="shared" ref="H5:H17" si="0">VALUE(MID(E5,FIND("+",E5)+1,10))+1</f>
        <v>5</v>
      </c>
      <c r="I5" t="str">
        <f t="shared" ref="I5:I17" si="1">B5&amp;" "&amp;C5&amp;"-person, "&amp;D5&amp;" m/s, "&amp;E5</f>
        <v>Passenger 8-person, 1.0 m/s, G+4</v>
      </c>
    </row>
    <row r="6" spans="1:9" x14ac:dyDescent="0.3">
      <c r="A6" s="2" t="s">
        <v>428</v>
      </c>
      <c r="B6" s="2" t="s">
        <v>424</v>
      </c>
      <c r="C6" s="2" t="s">
        <v>425</v>
      </c>
      <c r="D6" s="2" t="s">
        <v>122</v>
      </c>
      <c r="E6" s="2" t="s">
        <v>429</v>
      </c>
      <c r="F6" s="4">
        <v>19.39</v>
      </c>
      <c r="G6" s="3">
        <v>99860</v>
      </c>
      <c r="H6" s="26">
        <f t="shared" si="0"/>
        <v>6</v>
      </c>
      <c r="I6" t="str">
        <f t="shared" si="1"/>
        <v>Passenger 8-person, 1.5 m/s, G+5</v>
      </c>
    </row>
    <row r="7" spans="1:9" x14ac:dyDescent="0.3">
      <c r="A7" s="2" t="s">
        <v>430</v>
      </c>
      <c r="B7" s="2" t="s">
        <v>424</v>
      </c>
      <c r="C7" s="2" t="s">
        <v>431</v>
      </c>
      <c r="D7" s="2" t="s">
        <v>426</v>
      </c>
      <c r="E7" s="2" t="s">
        <v>427</v>
      </c>
      <c r="F7" s="4">
        <v>19.39</v>
      </c>
      <c r="G7" s="3">
        <v>99860</v>
      </c>
      <c r="H7" s="26">
        <f t="shared" si="0"/>
        <v>5</v>
      </c>
      <c r="I7" t="str">
        <f t="shared" si="1"/>
        <v>Passenger 13-person, 1.0 m/s, G+4</v>
      </c>
    </row>
    <row r="8" spans="1:9" x14ac:dyDescent="0.3">
      <c r="A8" s="2" t="s">
        <v>432</v>
      </c>
      <c r="B8" s="2" t="s">
        <v>424</v>
      </c>
      <c r="C8" s="2" t="s">
        <v>431</v>
      </c>
      <c r="D8" s="2" t="s">
        <v>122</v>
      </c>
      <c r="E8" s="2" t="s">
        <v>429</v>
      </c>
      <c r="F8" s="4">
        <v>21.55</v>
      </c>
      <c r="G8" s="3">
        <v>122050</v>
      </c>
      <c r="H8" s="26">
        <f t="shared" si="0"/>
        <v>6</v>
      </c>
      <c r="I8" t="str">
        <f t="shared" si="1"/>
        <v>Passenger 13-person, 1.5 m/s, G+5</v>
      </c>
    </row>
    <row r="9" spans="1:9" x14ac:dyDescent="0.3">
      <c r="A9" s="2" t="s">
        <v>433</v>
      </c>
      <c r="B9" s="2" t="s">
        <v>424</v>
      </c>
      <c r="C9" s="2" t="s">
        <v>434</v>
      </c>
      <c r="D9" s="2" t="s">
        <v>426</v>
      </c>
      <c r="E9" s="2" t="s">
        <v>427</v>
      </c>
      <c r="F9" s="4">
        <v>25.85</v>
      </c>
      <c r="G9" s="3">
        <v>122050</v>
      </c>
      <c r="H9" s="26">
        <f t="shared" si="0"/>
        <v>5</v>
      </c>
      <c r="I9" t="str">
        <f t="shared" si="1"/>
        <v>Passenger 16-person, 1.0 m/s, G+4</v>
      </c>
    </row>
    <row r="10" spans="1:9" x14ac:dyDescent="0.3">
      <c r="A10" s="2" t="s">
        <v>435</v>
      </c>
      <c r="B10" s="2" t="s">
        <v>424</v>
      </c>
      <c r="C10" s="2" t="s">
        <v>434</v>
      </c>
      <c r="D10" s="2" t="s">
        <v>122</v>
      </c>
      <c r="E10" s="2" t="s">
        <v>429</v>
      </c>
      <c r="F10" s="4">
        <v>28.01</v>
      </c>
      <c r="G10" s="3">
        <v>122050</v>
      </c>
      <c r="H10" s="26">
        <f t="shared" si="0"/>
        <v>6</v>
      </c>
      <c r="I10" t="str">
        <f t="shared" si="1"/>
        <v>Passenger 16-person, 1.5 m/s, G+5</v>
      </c>
    </row>
    <row r="11" spans="1:9" x14ac:dyDescent="0.3">
      <c r="A11" s="2" t="s">
        <v>436</v>
      </c>
      <c r="B11" s="2" t="s">
        <v>424</v>
      </c>
      <c r="C11" s="2" t="s">
        <v>434</v>
      </c>
      <c r="D11" s="2" t="s">
        <v>437</v>
      </c>
      <c r="E11" s="2" t="s">
        <v>438</v>
      </c>
      <c r="F11" s="4">
        <v>75.41</v>
      </c>
      <c r="G11" s="3">
        <v>122050</v>
      </c>
      <c r="H11" s="26">
        <f t="shared" si="0"/>
        <v>13</v>
      </c>
      <c r="I11" t="str">
        <f t="shared" si="1"/>
        <v>Passenger 16-person, 2.5 m/s, G+12</v>
      </c>
    </row>
    <row r="12" spans="1:9" x14ac:dyDescent="0.3">
      <c r="A12" s="2" t="s">
        <v>439</v>
      </c>
      <c r="B12" s="2" t="s">
        <v>440</v>
      </c>
      <c r="C12" s="2" t="s">
        <v>441</v>
      </c>
      <c r="D12" s="2" t="s">
        <v>442</v>
      </c>
      <c r="E12" s="2" t="s">
        <v>427</v>
      </c>
      <c r="F12" s="4">
        <v>25.85</v>
      </c>
      <c r="G12" s="3">
        <v>122050</v>
      </c>
      <c r="H12" s="26">
        <f t="shared" si="0"/>
        <v>5</v>
      </c>
      <c r="I12" t="str">
        <f t="shared" si="1"/>
        <v>Bed 20-person, 0.75 m/s, G+4</v>
      </c>
    </row>
    <row r="13" spans="1:9" x14ac:dyDescent="0.3">
      <c r="A13" s="2" t="s">
        <v>443</v>
      </c>
      <c r="B13" s="2" t="s">
        <v>440</v>
      </c>
      <c r="C13" s="2" t="s">
        <v>441</v>
      </c>
      <c r="D13" s="2" t="s">
        <v>122</v>
      </c>
      <c r="E13" s="2" t="s">
        <v>429</v>
      </c>
      <c r="F13" s="4">
        <v>29.09</v>
      </c>
      <c r="G13" s="3">
        <v>122050</v>
      </c>
      <c r="H13" s="26">
        <f t="shared" si="0"/>
        <v>6</v>
      </c>
      <c r="I13" t="str">
        <f t="shared" si="1"/>
        <v>Bed 20-person, 1.5 m/s, G+5</v>
      </c>
    </row>
    <row r="14" spans="1:9" x14ac:dyDescent="0.3">
      <c r="A14" s="2" t="s">
        <v>444</v>
      </c>
      <c r="B14" s="2" t="s">
        <v>440</v>
      </c>
      <c r="C14" s="2" t="s">
        <v>441</v>
      </c>
      <c r="D14" s="2" t="s">
        <v>437</v>
      </c>
      <c r="E14" s="2" t="s">
        <v>438</v>
      </c>
      <c r="F14" s="4">
        <v>80.790000000000006</v>
      </c>
      <c r="G14" s="3">
        <v>122050</v>
      </c>
      <c r="H14" s="26">
        <f t="shared" si="0"/>
        <v>13</v>
      </c>
      <c r="I14" t="str">
        <f t="shared" si="1"/>
        <v>Bed 20-person, 2.5 m/s, G+12</v>
      </c>
    </row>
    <row r="15" spans="1:9" x14ac:dyDescent="0.3">
      <c r="A15" s="2" t="s">
        <v>445</v>
      </c>
      <c r="B15" s="2" t="s">
        <v>446</v>
      </c>
      <c r="C15" s="2" t="s">
        <v>447</v>
      </c>
      <c r="D15" s="2" t="s">
        <v>448</v>
      </c>
      <c r="E15" s="2" t="s">
        <v>427</v>
      </c>
      <c r="F15" s="4">
        <v>28.01</v>
      </c>
      <c r="G15" s="3">
        <v>94310</v>
      </c>
      <c r="H15" s="26">
        <f t="shared" si="0"/>
        <v>5</v>
      </c>
      <c r="I15" t="str">
        <f t="shared" si="1"/>
        <v>Goods (2 speed) 1 Ton-person, 0.5 m/s, G+4</v>
      </c>
    </row>
    <row r="16" spans="1:9" x14ac:dyDescent="0.3">
      <c r="A16" s="2" t="s">
        <v>449</v>
      </c>
      <c r="B16" s="2" t="s">
        <v>446</v>
      </c>
      <c r="C16" s="2" t="s">
        <v>450</v>
      </c>
      <c r="D16" s="2" t="s">
        <v>448</v>
      </c>
      <c r="E16" s="2" t="s">
        <v>427</v>
      </c>
      <c r="F16" s="4">
        <v>35.549999999999997</v>
      </c>
      <c r="G16" s="3">
        <v>94310</v>
      </c>
      <c r="H16" s="26">
        <f t="shared" si="0"/>
        <v>5</v>
      </c>
      <c r="I16" t="str">
        <f t="shared" si="1"/>
        <v>Goods (2 speed) 2 Ton-person, 0.5 m/s, G+4</v>
      </c>
    </row>
    <row r="17" spans="1:9" x14ac:dyDescent="0.3">
      <c r="A17" s="2" t="s">
        <v>451</v>
      </c>
      <c r="B17" s="2" t="s">
        <v>446</v>
      </c>
      <c r="C17" s="2" t="s">
        <v>452</v>
      </c>
      <c r="D17" s="2" t="s">
        <v>453</v>
      </c>
      <c r="E17" s="2" t="s">
        <v>427</v>
      </c>
      <c r="F17" s="4">
        <v>44.17</v>
      </c>
      <c r="G17" s="3">
        <v>110950</v>
      </c>
      <c r="H17" s="26">
        <f t="shared" si="0"/>
        <v>5</v>
      </c>
      <c r="I17" t="str">
        <f t="shared" si="1"/>
        <v>Goods (2 speed) 3 Ton-person, 0.25 m/s, G+4</v>
      </c>
    </row>
  </sheetData>
  <pageMargins left="0.25" right="0.25" top="0.5" bottom="0.5" header="0.5" footer="0.5"/>
  <pageSetup fitToHeight="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9"/>
  <sheetViews>
    <sheetView showGridLines="0" workbookViewId="0">
      <pane ySplit="4" topLeftCell="A5" activePane="bottomLeft" state="frozen"/>
      <selection pane="bottomLeft" activeCell="B26" sqref="B26"/>
    </sheetView>
  </sheetViews>
  <sheetFormatPr defaultRowHeight="14.4" x14ac:dyDescent="0.3"/>
  <cols>
    <col min="1" max="1" width="14" customWidth="1"/>
    <col min="2" max="2" width="55" customWidth="1"/>
    <col min="3" max="3" width="32" customWidth="1"/>
    <col min="4" max="4" width="24" customWidth="1"/>
  </cols>
  <sheetData>
    <row r="1" spans="1:4" ht="18" customHeight="1" x14ac:dyDescent="0.3">
      <c r="A1" s="5" t="s">
        <v>454</v>
      </c>
    </row>
    <row r="2" spans="1:4" x14ac:dyDescent="0.3">
      <c r="A2" s="6" t="s">
        <v>455</v>
      </c>
    </row>
    <row r="4" spans="1:4" x14ac:dyDescent="0.3">
      <c r="A4" s="1" t="s">
        <v>326</v>
      </c>
      <c r="B4" s="1" t="s">
        <v>394</v>
      </c>
      <c r="C4" s="1" t="s">
        <v>330</v>
      </c>
      <c r="D4" s="1" t="s">
        <v>181</v>
      </c>
    </row>
    <row r="5" spans="1:4" x14ac:dyDescent="0.3">
      <c r="A5" s="2" t="s">
        <v>456</v>
      </c>
      <c r="B5" s="2" t="s">
        <v>457</v>
      </c>
      <c r="C5" s="2" t="s">
        <v>458</v>
      </c>
      <c r="D5" s="2">
        <v>23</v>
      </c>
    </row>
    <row r="6" spans="1:4" x14ac:dyDescent="0.3">
      <c r="A6" s="2" t="s">
        <v>459</v>
      </c>
      <c r="B6" s="2" t="s">
        <v>460</v>
      </c>
      <c r="C6" s="2" t="s">
        <v>458</v>
      </c>
      <c r="D6" s="2">
        <v>35</v>
      </c>
    </row>
    <row r="7" spans="1:4" x14ac:dyDescent="0.3">
      <c r="A7" s="2" t="s">
        <v>461</v>
      </c>
      <c r="B7" s="2" t="s">
        <v>462</v>
      </c>
      <c r="C7" s="2" t="s">
        <v>458</v>
      </c>
      <c r="D7" s="2">
        <v>40</v>
      </c>
    </row>
    <row r="8" spans="1:4" x14ac:dyDescent="0.3">
      <c r="A8" s="2" t="s">
        <v>463</v>
      </c>
      <c r="B8" s="2" t="s">
        <v>464</v>
      </c>
      <c r="C8" s="2" t="s">
        <v>458</v>
      </c>
      <c r="D8" s="2">
        <v>47</v>
      </c>
    </row>
    <row r="9" spans="1:4" x14ac:dyDescent="0.3">
      <c r="A9" s="2" t="s">
        <v>171</v>
      </c>
      <c r="B9" s="2" t="s">
        <v>172</v>
      </c>
      <c r="C9" s="2" t="s">
        <v>458</v>
      </c>
      <c r="D9" s="2">
        <v>24</v>
      </c>
    </row>
  </sheetData>
  <pageMargins left="0.25" right="0.25" top="0.5" bottom="0.5" header="0.5" footer="0.5"/>
  <pageSetup fitToHeight="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0"/>
  <sheetViews>
    <sheetView showGridLines="0" workbookViewId="0">
      <pane ySplit="4" topLeftCell="A5" activePane="bottomLeft" state="frozen"/>
      <selection pane="bottomLeft" activeCell="B20" sqref="B20"/>
    </sheetView>
  </sheetViews>
  <sheetFormatPr defaultRowHeight="14.4" x14ac:dyDescent="0.3"/>
  <cols>
    <col min="1" max="1" width="14" customWidth="1"/>
    <col min="2" max="2" width="55" customWidth="1"/>
    <col min="3" max="3" width="14.77734375" customWidth="1"/>
    <col min="4" max="4" width="14.21875" customWidth="1"/>
  </cols>
  <sheetData>
    <row r="1" spans="1:4" ht="18" customHeight="1" x14ac:dyDescent="0.3">
      <c r="A1" s="5" t="s">
        <v>465</v>
      </c>
    </row>
    <row r="2" spans="1:4" x14ac:dyDescent="0.3">
      <c r="A2" s="6" t="s">
        <v>466</v>
      </c>
    </row>
    <row r="4" spans="1:4" x14ac:dyDescent="0.3">
      <c r="A4" s="1" t="s">
        <v>326</v>
      </c>
      <c r="B4" s="1" t="s">
        <v>394</v>
      </c>
      <c r="C4" s="1" t="s">
        <v>330</v>
      </c>
      <c r="D4" s="1" t="s">
        <v>181</v>
      </c>
    </row>
    <row r="5" spans="1:4" x14ac:dyDescent="0.3">
      <c r="A5" s="2" t="s">
        <v>182</v>
      </c>
      <c r="B5" s="2" t="s">
        <v>183</v>
      </c>
      <c r="C5" s="2" t="s">
        <v>66</v>
      </c>
      <c r="D5" s="2">
        <v>160</v>
      </c>
    </row>
    <row r="6" spans="1:4" x14ac:dyDescent="0.3">
      <c r="A6" s="2" t="s">
        <v>467</v>
      </c>
      <c r="B6" s="2" t="s">
        <v>468</v>
      </c>
      <c r="C6" s="2" t="s">
        <v>66</v>
      </c>
      <c r="D6" s="2">
        <v>1940</v>
      </c>
    </row>
    <row r="7" spans="1:4" x14ac:dyDescent="0.3">
      <c r="A7" s="2" t="s">
        <v>469</v>
      </c>
      <c r="B7" s="2" t="s">
        <v>470</v>
      </c>
      <c r="C7" s="2" t="s">
        <v>66</v>
      </c>
      <c r="D7" s="2">
        <v>2150</v>
      </c>
    </row>
    <row r="8" spans="1:4" x14ac:dyDescent="0.3">
      <c r="A8" s="2" t="s">
        <v>471</v>
      </c>
      <c r="B8" s="2" t="s">
        <v>472</v>
      </c>
      <c r="C8" s="2" t="s">
        <v>66</v>
      </c>
      <c r="D8" s="2">
        <v>2945</v>
      </c>
    </row>
    <row r="9" spans="1:4" ht="28.8" customHeight="1" x14ac:dyDescent="0.3">
      <c r="A9" s="2" t="s">
        <v>473</v>
      </c>
      <c r="B9" s="2" t="s">
        <v>474</v>
      </c>
      <c r="C9" s="2" t="s">
        <v>66</v>
      </c>
      <c r="D9" s="2">
        <v>2930</v>
      </c>
    </row>
    <row r="10" spans="1:4" x14ac:dyDescent="0.3">
      <c r="A10" s="2" t="s">
        <v>187</v>
      </c>
      <c r="B10" s="2" t="s">
        <v>188</v>
      </c>
      <c r="C10" s="2" t="s">
        <v>475</v>
      </c>
      <c r="D10" s="2">
        <v>4180</v>
      </c>
    </row>
    <row r="11" spans="1:4" x14ac:dyDescent="0.3">
      <c r="A11" s="2" t="s">
        <v>476</v>
      </c>
      <c r="B11" s="2" t="s">
        <v>477</v>
      </c>
      <c r="C11" s="2" t="s">
        <v>475</v>
      </c>
      <c r="D11" s="2">
        <v>2170</v>
      </c>
    </row>
    <row r="12" spans="1:4" ht="28.8" customHeight="1" x14ac:dyDescent="0.3">
      <c r="A12" s="2" t="s">
        <v>478</v>
      </c>
      <c r="B12" s="2" t="s">
        <v>479</v>
      </c>
      <c r="C12" s="2" t="s">
        <v>475</v>
      </c>
      <c r="D12" s="2">
        <v>4175</v>
      </c>
    </row>
    <row r="13" spans="1:4" x14ac:dyDescent="0.3">
      <c r="A13" s="2" t="s">
        <v>480</v>
      </c>
      <c r="B13" s="2" t="s">
        <v>481</v>
      </c>
      <c r="C13" s="2" t="s">
        <v>475</v>
      </c>
      <c r="D13" s="2">
        <v>1560</v>
      </c>
    </row>
    <row r="14" spans="1:4" x14ac:dyDescent="0.3">
      <c r="A14" s="2" t="s">
        <v>192</v>
      </c>
      <c r="B14" s="2" t="s">
        <v>193</v>
      </c>
      <c r="C14" s="2" t="s">
        <v>475</v>
      </c>
      <c r="D14" s="2">
        <v>10810</v>
      </c>
    </row>
    <row r="15" spans="1:4" x14ac:dyDescent="0.3">
      <c r="A15" s="2" t="s">
        <v>194</v>
      </c>
      <c r="B15" s="2" t="s">
        <v>482</v>
      </c>
      <c r="C15" s="2" t="s">
        <v>475</v>
      </c>
      <c r="D15" s="2">
        <v>2330</v>
      </c>
    </row>
    <row r="16" spans="1:4" x14ac:dyDescent="0.3">
      <c r="A16" s="2" t="s">
        <v>196</v>
      </c>
      <c r="B16" s="2" t="s">
        <v>197</v>
      </c>
      <c r="C16" s="2" t="s">
        <v>475</v>
      </c>
      <c r="D16" s="2">
        <v>7460</v>
      </c>
    </row>
    <row r="17" spans="1:4" ht="43.2" customHeight="1" x14ac:dyDescent="0.3">
      <c r="A17" s="2" t="s">
        <v>483</v>
      </c>
      <c r="B17" s="2" t="s">
        <v>484</v>
      </c>
      <c r="C17" s="2" t="s">
        <v>475</v>
      </c>
      <c r="D17" s="2">
        <v>13210</v>
      </c>
    </row>
    <row r="18" spans="1:4" ht="43.2" customHeight="1" x14ac:dyDescent="0.3">
      <c r="A18" s="2" t="s">
        <v>485</v>
      </c>
      <c r="B18" s="2" t="s">
        <v>486</v>
      </c>
      <c r="C18" s="2" t="s">
        <v>475</v>
      </c>
      <c r="D18" s="2">
        <v>9735</v>
      </c>
    </row>
    <row r="19" spans="1:4" ht="28.8" customHeight="1" x14ac:dyDescent="0.3">
      <c r="A19" s="2" t="s">
        <v>201</v>
      </c>
      <c r="B19" s="2" t="s">
        <v>487</v>
      </c>
      <c r="C19" s="2" t="s">
        <v>66</v>
      </c>
      <c r="D19" s="2">
        <v>578</v>
      </c>
    </row>
    <row r="20" spans="1:4" ht="28.8" customHeight="1" x14ac:dyDescent="0.3">
      <c r="A20" s="2" t="s">
        <v>203</v>
      </c>
      <c r="B20" s="2" t="s">
        <v>488</v>
      </c>
      <c r="C20" s="2" t="s">
        <v>66</v>
      </c>
      <c r="D20" s="2">
        <v>6683</v>
      </c>
    </row>
  </sheetData>
  <pageMargins left="0.25" right="0.25" top="0.5" bottom="0.5" header="0.5" footer="0.5"/>
  <pageSetup fitToHeight="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4"/>
  <sheetViews>
    <sheetView showGridLines="0" workbookViewId="0">
      <pane ySplit="4" topLeftCell="A41" activePane="bottomLeft" state="frozen"/>
      <selection pane="bottomLeft" activeCell="A54" sqref="A54"/>
    </sheetView>
  </sheetViews>
  <sheetFormatPr defaultRowHeight="14.4" x14ac:dyDescent="0.3"/>
  <cols>
    <col min="1" max="1" width="14" customWidth="1"/>
    <col min="2" max="2" width="55" customWidth="1"/>
    <col min="3" max="3" width="32" customWidth="1"/>
    <col min="4" max="4" width="24" customWidth="1"/>
  </cols>
  <sheetData>
    <row r="1" spans="1:4" ht="18" customHeight="1" x14ac:dyDescent="0.3">
      <c r="A1" s="5" t="s">
        <v>489</v>
      </c>
    </row>
    <row r="2" spans="1:4" x14ac:dyDescent="0.3">
      <c r="A2" s="6" t="s">
        <v>490</v>
      </c>
    </row>
    <row r="4" spans="1:4" x14ac:dyDescent="0.3">
      <c r="A4" s="1" t="s">
        <v>326</v>
      </c>
      <c r="B4" s="1" t="s">
        <v>491</v>
      </c>
      <c r="C4" s="1" t="s">
        <v>330</v>
      </c>
      <c r="D4" s="1" t="s">
        <v>181</v>
      </c>
    </row>
    <row r="5" spans="1:4" ht="28.8" customHeight="1" x14ac:dyDescent="0.3">
      <c r="A5" s="2" t="s">
        <v>211</v>
      </c>
      <c r="B5" s="2" t="s">
        <v>492</v>
      </c>
      <c r="C5" s="2" t="s">
        <v>493</v>
      </c>
      <c r="D5" s="2">
        <v>3800</v>
      </c>
    </row>
    <row r="6" spans="1:4" ht="28.8" customHeight="1" x14ac:dyDescent="0.3">
      <c r="A6" s="2" t="s">
        <v>214</v>
      </c>
      <c r="B6" s="2" t="s">
        <v>494</v>
      </c>
      <c r="C6" s="2" t="s">
        <v>493</v>
      </c>
      <c r="D6" s="2">
        <v>9000</v>
      </c>
    </row>
    <row r="7" spans="1:4" ht="28.8" customHeight="1" x14ac:dyDescent="0.3">
      <c r="A7" s="2" t="s">
        <v>216</v>
      </c>
      <c r="B7" s="2" t="s">
        <v>495</v>
      </c>
      <c r="C7" s="2" t="s">
        <v>493</v>
      </c>
      <c r="D7" s="2">
        <v>8100</v>
      </c>
    </row>
    <row r="8" spans="1:4" ht="43.2" customHeight="1" x14ac:dyDescent="0.3">
      <c r="A8" s="2" t="s">
        <v>218</v>
      </c>
      <c r="B8" s="2" t="s">
        <v>496</v>
      </c>
      <c r="C8" s="2" t="s">
        <v>493</v>
      </c>
      <c r="D8" s="2">
        <v>11560</v>
      </c>
    </row>
    <row r="9" spans="1:4" x14ac:dyDescent="0.3">
      <c r="A9" s="2" t="s">
        <v>220</v>
      </c>
      <c r="B9" s="2" t="s">
        <v>497</v>
      </c>
      <c r="C9" s="2" t="s">
        <v>493</v>
      </c>
      <c r="D9" s="2">
        <v>1070</v>
      </c>
    </row>
    <row r="10" spans="1:4" ht="28.8" customHeight="1" x14ac:dyDescent="0.3">
      <c r="A10" s="2" t="s">
        <v>222</v>
      </c>
      <c r="B10" s="2" t="s">
        <v>498</v>
      </c>
      <c r="C10" s="2" t="s">
        <v>493</v>
      </c>
      <c r="D10" s="2">
        <v>21290</v>
      </c>
    </row>
    <row r="11" spans="1:4" x14ac:dyDescent="0.3">
      <c r="A11" s="2" t="s">
        <v>224</v>
      </c>
      <c r="B11" s="2" t="s">
        <v>499</v>
      </c>
      <c r="C11" s="2" t="s">
        <v>493</v>
      </c>
      <c r="D11" s="2">
        <v>9580</v>
      </c>
    </row>
    <row r="12" spans="1:4" x14ac:dyDescent="0.3">
      <c r="A12" s="2" t="s">
        <v>228</v>
      </c>
      <c r="B12" s="2" t="s">
        <v>500</v>
      </c>
      <c r="C12" s="2" t="s">
        <v>501</v>
      </c>
      <c r="D12" s="2">
        <v>90380</v>
      </c>
    </row>
    <row r="13" spans="1:4" x14ac:dyDescent="0.3">
      <c r="A13" s="2" t="s">
        <v>231</v>
      </c>
      <c r="B13" s="2" t="s">
        <v>502</v>
      </c>
      <c r="C13" s="2" t="s">
        <v>501</v>
      </c>
      <c r="D13" s="2">
        <v>40860</v>
      </c>
    </row>
    <row r="14" spans="1:4" ht="43.2" customHeight="1" x14ac:dyDescent="0.3">
      <c r="A14" s="2" t="s">
        <v>233</v>
      </c>
      <c r="B14" s="2" t="s">
        <v>503</v>
      </c>
      <c r="C14" s="2" t="s">
        <v>504</v>
      </c>
      <c r="D14" s="2">
        <v>58480</v>
      </c>
    </row>
    <row r="15" spans="1:4" ht="28.8" customHeight="1" x14ac:dyDescent="0.3">
      <c r="A15" s="2" t="s">
        <v>236</v>
      </c>
      <c r="B15" s="2" t="s">
        <v>505</v>
      </c>
      <c r="C15" s="2" t="s">
        <v>501</v>
      </c>
      <c r="D15" s="2">
        <v>110000</v>
      </c>
    </row>
    <row r="16" spans="1:4" ht="28.8" customHeight="1" x14ac:dyDescent="0.3">
      <c r="A16" s="2" t="s">
        <v>239</v>
      </c>
      <c r="B16" s="2" t="s">
        <v>506</v>
      </c>
      <c r="C16" s="2" t="s">
        <v>507</v>
      </c>
      <c r="D16" s="2">
        <v>58480</v>
      </c>
    </row>
    <row r="17" spans="1:4" ht="28.8" customHeight="1" x14ac:dyDescent="0.3">
      <c r="A17" s="2" t="s">
        <v>242</v>
      </c>
      <c r="B17" s="2" t="s">
        <v>508</v>
      </c>
      <c r="C17" s="2" t="s">
        <v>509</v>
      </c>
      <c r="D17" s="2">
        <v>23920</v>
      </c>
    </row>
    <row r="18" spans="1:4" ht="28.8" customHeight="1" x14ac:dyDescent="0.3">
      <c r="A18" s="2" t="s">
        <v>246</v>
      </c>
      <c r="B18" s="2" t="s">
        <v>510</v>
      </c>
      <c r="C18" s="2" t="s">
        <v>66</v>
      </c>
      <c r="D18" s="2">
        <v>210</v>
      </c>
    </row>
    <row r="19" spans="1:4" ht="28.8" customHeight="1" x14ac:dyDescent="0.3">
      <c r="A19" s="2" t="s">
        <v>248</v>
      </c>
      <c r="B19" s="2" t="s">
        <v>511</v>
      </c>
      <c r="C19" s="2" t="s">
        <v>66</v>
      </c>
      <c r="D19" s="2">
        <v>210</v>
      </c>
    </row>
    <row r="20" spans="1:4" ht="28.8" customHeight="1" x14ac:dyDescent="0.3">
      <c r="A20" s="2" t="s">
        <v>250</v>
      </c>
      <c r="B20" s="2" t="s">
        <v>512</v>
      </c>
      <c r="C20" s="2" t="s">
        <v>66</v>
      </c>
      <c r="D20" s="2">
        <v>220</v>
      </c>
    </row>
    <row r="21" spans="1:4" x14ac:dyDescent="0.3">
      <c r="A21" s="2" t="s">
        <v>252</v>
      </c>
      <c r="B21" s="2" t="s">
        <v>513</v>
      </c>
      <c r="C21" s="2" t="s">
        <v>66</v>
      </c>
      <c r="D21" s="2">
        <v>430</v>
      </c>
    </row>
    <row r="22" spans="1:4" ht="28.8" customHeight="1" x14ac:dyDescent="0.3">
      <c r="A22" s="2" t="s">
        <v>254</v>
      </c>
      <c r="B22" s="2" t="s">
        <v>514</v>
      </c>
      <c r="C22" s="2" t="s">
        <v>66</v>
      </c>
      <c r="D22" s="2">
        <v>130</v>
      </c>
    </row>
    <row r="23" spans="1:4" ht="43.2" customHeight="1" x14ac:dyDescent="0.3">
      <c r="A23" s="2" t="s">
        <v>256</v>
      </c>
      <c r="B23" s="2" t="s">
        <v>515</v>
      </c>
      <c r="C23" s="2" t="s">
        <v>516</v>
      </c>
      <c r="D23" s="2">
        <v>1640</v>
      </c>
    </row>
    <row r="24" spans="1:4" ht="28.8" customHeight="1" x14ac:dyDescent="0.3">
      <c r="A24" s="2" t="s">
        <v>260</v>
      </c>
      <c r="B24" s="2" t="s">
        <v>517</v>
      </c>
      <c r="C24" s="2" t="s">
        <v>66</v>
      </c>
      <c r="D24" s="2">
        <v>220</v>
      </c>
    </row>
    <row r="25" spans="1:4" ht="28.8" customHeight="1" x14ac:dyDescent="0.3">
      <c r="A25" s="2" t="s">
        <v>263</v>
      </c>
      <c r="B25" s="2" t="s">
        <v>518</v>
      </c>
      <c r="C25" s="2" t="s">
        <v>66</v>
      </c>
      <c r="D25" s="2">
        <v>320</v>
      </c>
    </row>
    <row r="26" spans="1:4" ht="28.8" customHeight="1" x14ac:dyDescent="0.3">
      <c r="A26" s="2" t="s">
        <v>265</v>
      </c>
      <c r="B26" s="2" t="s">
        <v>519</v>
      </c>
      <c r="C26" s="2" t="s">
        <v>66</v>
      </c>
      <c r="D26" s="2">
        <v>320</v>
      </c>
    </row>
    <row r="27" spans="1:4" ht="43.2" customHeight="1" x14ac:dyDescent="0.3">
      <c r="A27" s="2" t="s">
        <v>267</v>
      </c>
      <c r="B27" s="2" t="s">
        <v>520</v>
      </c>
      <c r="C27" s="2" t="s">
        <v>66</v>
      </c>
      <c r="D27" s="2">
        <v>560</v>
      </c>
    </row>
    <row r="28" spans="1:4" ht="43.2" customHeight="1" x14ac:dyDescent="0.3">
      <c r="A28" s="2" t="s">
        <v>269</v>
      </c>
      <c r="B28" s="2" t="s">
        <v>521</v>
      </c>
      <c r="C28" s="2" t="s">
        <v>66</v>
      </c>
      <c r="D28" s="2">
        <v>580</v>
      </c>
    </row>
    <row r="29" spans="1:4" ht="28.8" customHeight="1" x14ac:dyDescent="0.3">
      <c r="A29" s="2" t="s">
        <v>271</v>
      </c>
      <c r="B29" s="2" t="s">
        <v>522</v>
      </c>
      <c r="C29" s="2" t="s">
        <v>66</v>
      </c>
      <c r="D29" s="2">
        <v>11890</v>
      </c>
    </row>
    <row r="30" spans="1:4" ht="28.8" customHeight="1" x14ac:dyDescent="0.3">
      <c r="A30" s="2" t="s">
        <v>274</v>
      </c>
      <c r="B30" s="2" t="s">
        <v>523</v>
      </c>
      <c r="C30" s="2" t="s">
        <v>66</v>
      </c>
      <c r="D30" s="2">
        <v>160</v>
      </c>
    </row>
    <row r="31" spans="1:4" x14ac:dyDescent="0.3">
      <c r="A31" s="2" t="s">
        <v>278</v>
      </c>
      <c r="B31" s="2" t="s">
        <v>524</v>
      </c>
      <c r="C31" s="2" t="s">
        <v>525</v>
      </c>
      <c r="D31" s="2">
        <v>75000</v>
      </c>
    </row>
    <row r="32" spans="1:4" ht="28.8" customHeight="1" x14ac:dyDescent="0.3">
      <c r="A32" s="2" t="s">
        <v>280</v>
      </c>
      <c r="B32" s="2" t="s">
        <v>526</v>
      </c>
      <c r="C32" s="2" t="s">
        <v>525</v>
      </c>
      <c r="D32" s="2">
        <v>60000</v>
      </c>
    </row>
    <row r="33" spans="1:4" x14ac:dyDescent="0.3">
      <c r="A33" s="2" t="s">
        <v>282</v>
      </c>
      <c r="B33" s="2" t="s">
        <v>527</v>
      </c>
      <c r="C33" s="2" t="s">
        <v>525</v>
      </c>
      <c r="D33" s="2">
        <v>50000</v>
      </c>
    </row>
    <row r="34" spans="1:4" ht="28.8" customHeight="1" x14ac:dyDescent="0.3">
      <c r="A34" s="2" t="s">
        <v>285</v>
      </c>
      <c r="B34" s="2" t="s">
        <v>528</v>
      </c>
      <c r="C34" s="2" t="s">
        <v>529</v>
      </c>
      <c r="D34" s="2">
        <v>770890</v>
      </c>
    </row>
    <row r="35" spans="1:4" x14ac:dyDescent="0.3">
      <c r="A35" s="2" t="s">
        <v>288</v>
      </c>
      <c r="B35" s="2" t="s">
        <v>530</v>
      </c>
      <c r="C35" s="2" t="s">
        <v>531</v>
      </c>
      <c r="D35" s="2">
        <v>2259510</v>
      </c>
    </row>
    <row r="36" spans="1:4" x14ac:dyDescent="0.3">
      <c r="A36" s="2" t="s">
        <v>291</v>
      </c>
      <c r="B36" s="2" t="s">
        <v>532</v>
      </c>
      <c r="C36" s="2" t="s">
        <v>531</v>
      </c>
      <c r="D36" s="2">
        <v>3721550</v>
      </c>
    </row>
    <row r="37" spans="1:4" ht="28.8" customHeight="1" x14ac:dyDescent="0.3">
      <c r="A37" s="2" t="s">
        <v>293</v>
      </c>
      <c r="B37" s="2" t="s">
        <v>533</v>
      </c>
      <c r="C37" s="2" t="s">
        <v>529</v>
      </c>
      <c r="D37" s="2">
        <v>372160</v>
      </c>
    </row>
    <row r="38" spans="1:4" ht="28.8" customHeight="1" x14ac:dyDescent="0.3">
      <c r="A38" s="2" t="s">
        <v>295</v>
      </c>
      <c r="B38" s="2" t="s">
        <v>534</v>
      </c>
      <c r="C38" s="2" t="s">
        <v>535</v>
      </c>
      <c r="D38" s="2">
        <v>7200000</v>
      </c>
    </row>
    <row r="39" spans="1:4" ht="28.8" customHeight="1" x14ac:dyDescent="0.3">
      <c r="A39" s="2" t="s">
        <v>298</v>
      </c>
      <c r="B39" s="2" t="s">
        <v>536</v>
      </c>
      <c r="C39" s="2" t="s">
        <v>535</v>
      </c>
      <c r="D39" s="2">
        <v>10500000</v>
      </c>
    </row>
    <row r="40" spans="1:4" ht="28.8" customHeight="1" x14ac:dyDescent="0.3">
      <c r="A40" s="2" t="s">
        <v>300</v>
      </c>
      <c r="B40" s="2" t="s">
        <v>537</v>
      </c>
      <c r="C40" s="2" t="s">
        <v>538</v>
      </c>
      <c r="D40" s="2">
        <v>125000</v>
      </c>
    </row>
    <row r="41" spans="1:4" ht="28.8" customHeight="1" x14ac:dyDescent="0.3">
      <c r="A41" s="2" t="s">
        <v>303</v>
      </c>
      <c r="B41" s="2" t="s">
        <v>539</v>
      </c>
      <c r="C41" s="2" t="s">
        <v>540</v>
      </c>
      <c r="D41" s="2">
        <v>10000</v>
      </c>
    </row>
    <row r="42" spans="1:4" x14ac:dyDescent="0.3">
      <c r="A42" s="2" t="s">
        <v>306</v>
      </c>
      <c r="B42" s="2" t="s">
        <v>541</v>
      </c>
      <c r="C42" s="2" t="s">
        <v>66</v>
      </c>
      <c r="D42" s="2">
        <v>22</v>
      </c>
    </row>
    <row r="43" spans="1:4" x14ac:dyDescent="0.3">
      <c r="A43" s="2" t="s">
        <v>308</v>
      </c>
      <c r="B43" s="2" t="s">
        <v>542</v>
      </c>
      <c r="C43" s="2" t="s">
        <v>543</v>
      </c>
      <c r="D43" s="2">
        <v>500000</v>
      </c>
    </row>
    <row r="49" spans="1:1" x14ac:dyDescent="0.3">
      <c r="A49" s="8" t="s">
        <v>544</v>
      </c>
    </row>
    <row r="50" spans="1:1" x14ac:dyDescent="0.3">
      <c r="A50" s="7" t="s">
        <v>545</v>
      </c>
    </row>
    <row r="51" spans="1:1" x14ac:dyDescent="0.3">
      <c r="A51" s="7" t="s">
        <v>546</v>
      </c>
    </row>
    <row r="52" spans="1:1" x14ac:dyDescent="0.3">
      <c r="A52" s="7" t="s">
        <v>547</v>
      </c>
    </row>
    <row r="53" spans="1:1" x14ac:dyDescent="0.3">
      <c r="A53" s="7" t="s">
        <v>548</v>
      </c>
    </row>
    <row r="54" spans="1:1" x14ac:dyDescent="0.3">
      <c r="A54" s="7" t="s">
        <v>549</v>
      </c>
    </row>
  </sheetData>
  <pageMargins left="0.25" right="0.25" top="0.5" bottom="0.5" header="0.5" footer="0.5"/>
  <pageSetup fitToHeight="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22"/>
  <sheetViews>
    <sheetView showGridLines="0" workbookViewId="0">
      <pane ySplit="4" topLeftCell="A5" activePane="bottomLeft" state="frozen"/>
      <selection pane="bottomLeft" activeCell="B12" sqref="B12"/>
    </sheetView>
  </sheetViews>
  <sheetFormatPr defaultRowHeight="14.4" x14ac:dyDescent="0.3"/>
  <cols>
    <col min="1" max="1" width="14" customWidth="1"/>
    <col min="2" max="2" width="108.5546875" customWidth="1"/>
  </cols>
  <sheetData>
    <row r="1" spans="1:2" ht="18" customHeight="1" x14ac:dyDescent="0.3">
      <c r="A1" s="5" t="s">
        <v>550</v>
      </c>
    </row>
    <row r="2" spans="1:2" x14ac:dyDescent="0.3">
      <c r="A2" s="6" t="s">
        <v>551</v>
      </c>
    </row>
    <row r="4" spans="1:2" x14ac:dyDescent="0.3">
      <c r="A4" s="1" t="s">
        <v>552</v>
      </c>
      <c r="B4" s="1" t="s">
        <v>553</v>
      </c>
    </row>
    <row r="5" spans="1:2" ht="28.8" customHeight="1" x14ac:dyDescent="0.3">
      <c r="A5" s="2" t="s">
        <v>554</v>
      </c>
      <c r="B5" s="2" t="s">
        <v>555</v>
      </c>
    </row>
    <row r="6" spans="1:2" ht="28.8" customHeight="1" x14ac:dyDescent="0.3">
      <c r="A6" s="2" t="s">
        <v>556</v>
      </c>
      <c r="B6" s="2" t="s">
        <v>557</v>
      </c>
    </row>
    <row r="7" spans="1:2" ht="28.8" customHeight="1" x14ac:dyDescent="0.3">
      <c r="A7" s="2" t="s">
        <v>558</v>
      </c>
      <c r="B7" s="2" t="s">
        <v>559</v>
      </c>
    </row>
    <row r="8" spans="1:2" ht="28.8" customHeight="1" x14ac:dyDescent="0.3">
      <c r="A8" s="2" t="s">
        <v>560</v>
      </c>
      <c r="B8" s="2" t="s">
        <v>561</v>
      </c>
    </row>
    <row r="9" spans="1:2" x14ac:dyDescent="0.3">
      <c r="A9" s="2" t="s">
        <v>562</v>
      </c>
      <c r="B9" s="2" t="s">
        <v>563</v>
      </c>
    </row>
    <row r="10" spans="1:2" ht="28.8" customHeight="1" x14ac:dyDescent="0.3">
      <c r="A10" s="2" t="s">
        <v>564</v>
      </c>
      <c r="B10" s="2" t="s">
        <v>565</v>
      </c>
    </row>
    <row r="11" spans="1:2" ht="28.8" customHeight="1" x14ac:dyDescent="0.3">
      <c r="A11" s="2" t="s">
        <v>566</v>
      </c>
      <c r="B11" s="2" t="s">
        <v>567</v>
      </c>
    </row>
    <row r="12" spans="1:2" ht="28.8" customHeight="1" x14ac:dyDescent="0.3">
      <c r="A12" s="2" t="s">
        <v>568</v>
      </c>
      <c r="B12" s="2" t="s">
        <v>569</v>
      </c>
    </row>
    <row r="13" spans="1:2" x14ac:dyDescent="0.3">
      <c r="A13" s="2" t="s">
        <v>570</v>
      </c>
      <c r="B13" s="2" t="s">
        <v>571</v>
      </c>
    </row>
    <row r="14" spans="1:2" x14ac:dyDescent="0.3">
      <c r="A14" s="2" t="s">
        <v>572</v>
      </c>
      <c r="B14" s="2" t="s">
        <v>573</v>
      </c>
    </row>
    <row r="15" spans="1:2" x14ac:dyDescent="0.3">
      <c r="A15" s="2" t="s">
        <v>574</v>
      </c>
      <c r="B15" s="2" t="s">
        <v>575</v>
      </c>
    </row>
    <row r="16" spans="1:2" x14ac:dyDescent="0.3">
      <c r="A16" s="2" t="s">
        <v>576</v>
      </c>
      <c r="B16" s="2" t="s">
        <v>577</v>
      </c>
    </row>
    <row r="17" spans="1:2" x14ac:dyDescent="0.3">
      <c r="A17" s="2" t="s">
        <v>578</v>
      </c>
      <c r="B17" s="2" t="s">
        <v>579</v>
      </c>
    </row>
    <row r="18" spans="1:2" x14ac:dyDescent="0.3">
      <c r="A18" s="2" t="s">
        <v>580</v>
      </c>
      <c r="B18" s="2" t="s">
        <v>581</v>
      </c>
    </row>
    <row r="19" spans="1:2" ht="28.8" customHeight="1" x14ac:dyDescent="0.3">
      <c r="A19" s="2" t="s">
        <v>582</v>
      </c>
      <c r="B19" s="2" t="s">
        <v>583</v>
      </c>
    </row>
    <row r="20" spans="1:2" x14ac:dyDescent="0.3">
      <c r="A20" s="2" t="s">
        <v>584</v>
      </c>
      <c r="B20" s="2" t="s">
        <v>585</v>
      </c>
    </row>
    <row r="21" spans="1:2" x14ac:dyDescent="0.3">
      <c r="A21" s="2" t="s">
        <v>586</v>
      </c>
      <c r="B21" s="2" t="s">
        <v>587</v>
      </c>
    </row>
    <row r="22" spans="1:2" x14ac:dyDescent="0.3">
      <c r="A22" s="2" t="s">
        <v>588</v>
      </c>
      <c r="B22" s="2" t="s">
        <v>589</v>
      </c>
    </row>
  </sheetData>
  <pageMargins left="0.25" right="0.25" top="0.5" bottom="0.5" header="0.5" footer="0.5"/>
  <pageSetup fitToHeight="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92"/>
  <sheetViews>
    <sheetView showGridLines="0" workbookViewId="0">
      <pane ySplit="4" topLeftCell="A11" activePane="bottomLeft" state="frozen"/>
      <selection pane="bottomLeft" activeCell="C21" sqref="C21"/>
    </sheetView>
  </sheetViews>
  <sheetFormatPr defaultRowHeight="14.4" x14ac:dyDescent="0.3"/>
  <cols>
    <col min="1" max="1" width="7.44140625" customWidth="1"/>
    <col min="2" max="2" width="39.33203125" customWidth="1"/>
    <col min="3" max="3" width="9.77734375" customWidth="1"/>
    <col min="4" max="4" width="5.6640625" customWidth="1"/>
    <col min="5" max="6" width="15.33203125" customWidth="1"/>
    <col min="7" max="7" width="12.109375" customWidth="1"/>
    <col min="8" max="8" width="11" customWidth="1"/>
    <col min="9" max="9" width="7.5546875" customWidth="1"/>
    <col min="10" max="10" width="9.5546875" customWidth="1"/>
  </cols>
  <sheetData>
    <row r="1" spans="1:10" ht="18" customHeight="1" x14ac:dyDescent="0.3">
      <c r="A1" s="5" t="s">
        <v>590</v>
      </c>
    </row>
    <row r="2" spans="1:10" x14ac:dyDescent="0.3">
      <c r="A2" s="6" t="s">
        <v>591</v>
      </c>
    </row>
    <row r="4" spans="1:10" ht="57.6" customHeight="1" x14ac:dyDescent="0.3">
      <c r="A4" s="1" t="s">
        <v>592</v>
      </c>
      <c r="B4" s="1" t="s">
        <v>394</v>
      </c>
      <c r="C4" s="1" t="s">
        <v>47</v>
      </c>
      <c r="D4" s="1" t="s">
        <v>593</v>
      </c>
      <c r="E4" s="1" t="s">
        <v>594</v>
      </c>
      <c r="F4" s="1" t="s">
        <v>595</v>
      </c>
      <c r="G4" s="24" t="s">
        <v>596</v>
      </c>
      <c r="H4" s="1" t="s">
        <v>597</v>
      </c>
      <c r="I4" s="1" t="s">
        <v>598</v>
      </c>
      <c r="J4" s="1" t="s">
        <v>599</v>
      </c>
    </row>
    <row r="5" spans="1:10" x14ac:dyDescent="0.3">
      <c r="A5" s="2" t="s">
        <v>554</v>
      </c>
      <c r="B5" s="2" t="s">
        <v>600</v>
      </c>
      <c r="C5" s="2" t="s">
        <v>601</v>
      </c>
      <c r="D5" s="2">
        <v>100</v>
      </c>
      <c r="E5" s="4">
        <v>4750</v>
      </c>
      <c r="F5" s="4">
        <v>4750</v>
      </c>
      <c r="G5" s="4">
        <v>4750</v>
      </c>
      <c r="H5" s="4">
        <v>8</v>
      </c>
      <c r="I5" s="2"/>
      <c r="J5" s="2"/>
    </row>
    <row r="6" spans="1:10" x14ac:dyDescent="0.3">
      <c r="A6" s="2" t="s">
        <v>556</v>
      </c>
      <c r="B6" s="2" t="s">
        <v>602</v>
      </c>
      <c r="C6" s="2" t="s">
        <v>603</v>
      </c>
      <c r="D6" s="2">
        <v>100</v>
      </c>
      <c r="E6" s="4">
        <v>523.45000000000005</v>
      </c>
      <c r="F6" s="4">
        <v>523.45000000000005</v>
      </c>
      <c r="G6" s="4">
        <v>523.45000000000005</v>
      </c>
      <c r="H6" s="4">
        <v>14.5</v>
      </c>
      <c r="I6" s="2"/>
      <c r="J6" s="2"/>
    </row>
    <row r="7" spans="1:10" ht="28.8" x14ac:dyDescent="0.3">
      <c r="A7" s="2" t="s">
        <v>604</v>
      </c>
      <c r="B7" s="2" t="s">
        <v>605</v>
      </c>
      <c r="C7" s="2" t="s">
        <v>603</v>
      </c>
      <c r="D7" s="2">
        <v>50</v>
      </c>
      <c r="E7" s="4">
        <v>5430</v>
      </c>
      <c r="F7" s="4">
        <v>2715</v>
      </c>
      <c r="G7" s="4">
        <v>5530</v>
      </c>
      <c r="H7" s="4">
        <v>19.5</v>
      </c>
      <c r="I7" s="2"/>
      <c r="J7" s="2"/>
    </row>
    <row r="8" spans="1:10" ht="28.8" x14ac:dyDescent="0.3">
      <c r="A8" s="2" t="s">
        <v>606</v>
      </c>
      <c r="B8" s="2" t="s">
        <v>607</v>
      </c>
      <c r="C8" s="2" t="s">
        <v>603</v>
      </c>
      <c r="D8" s="2">
        <v>50</v>
      </c>
      <c r="E8" s="4">
        <v>5630</v>
      </c>
      <c r="F8" s="4">
        <v>2815</v>
      </c>
      <c r="G8" s="2"/>
      <c r="H8" s="2"/>
      <c r="I8" s="2"/>
      <c r="J8" s="2"/>
    </row>
    <row r="9" spans="1:10" x14ac:dyDescent="0.3">
      <c r="A9" s="2" t="s">
        <v>608</v>
      </c>
      <c r="B9" s="2" t="s">
        <v>609</v>
      </c>
      <c r="C9" s="2" t="s">
        <v>610</v>
      </c>
      <c r="D9" s="2">
        <v>75</v>
      </c>
      <c r="E9" s="4">
        <v>1500</v>
      </c>
      <c r="F9" s="4">
        <v>1125</v>
      </c>
      <c r="G9" s="4">
        <v>1375</v>
      </c>
      <c r="H9" s="4">
        <v>6.5</v>
      </c>
      <c r="I9" s="2"/>
      <c r="J9" s="2"/>
    </row>
    <row r="10" spans="1:10" x14ac:dyDescent="0.3">
      <c r="A10" s="2" t="s">
        <v>611</v>
      </c>
      <c r="B10" s="2" t="s">
        <v>612</v>
      </c>
      <c r="C10" s="2" t="s">
        <v>610</v>
      </c>
      <c r="D10" s="2">
        <v>25</v>
      </c>
      <c r="E10" s="4">
        <v>1000</v>
      </c>
      <c r="F10" s="4">
        <v>250</v>
      </c>
      <c r="G10" s="2"/>
      <c r="H10" s="2"/>
      <c r="I10" s="2"/>
      <c r="J10" s="2"/>
    </row>
    <row r="11" spans="1:10" x14ac:dyDescent="0.3">
      <c r="A11" s="2" t="s">
        <v>566</v>
      </c>
      <c r="B11" s="2" t="s">
        <v>613</v>
      </c>
      <c r="C11" s="2" t="s">
        <v>610</v>
      </c>
      <c r="D11" s="2">
        <v>75</v>
      </c>
      <c r="E11" s="4">
        <v>1250</v>
      </c>
      <c r="F11" s="4">
        <v>937.5</v>
      </c>
      <c r="G11" s="4">
        <v>1260</v>
      </c>
      <c r="H11" s="4">
        <v>3</v>
      </c>
      <c r="I11" s="2"/>
      <c r="J11" s="2"/>
    </row>
    <row r="12" spans="1:10" x14ac:dyDescent="0.3">
      <c r="A12" s="2" t="s">
        <v>568</v>
      </c>
      <c r="B12" s="2" t="s">
        <v>614</v>
      </c>
      <c r="C12" s="2" t="s">
        <v>610</v>
      </c>
      <c r="D12" s="2">
        <v>25</v>
      </c>
      <c r="E12" s="4">
        <v>1290</v>
      </c>
      <c r="F12" s="4">
        <v>322.5</v>
      </c>
      <c r="G12" s="2"/>
      <c r="H12" s="2"/>
      <c r="I12" s="2"/>
      <c r="J12" s="2"/>
    </row>
    <row r="13" spans="1:10" x14ac:dyDescent="0.3">
      <c r="A13" s="2" t="s">
        <v>615</v>
      </c>
      <c r="B13" s="2" t="s">
        <v>616</v>
      </c>
      <c r="C13" s="2" t="s">
        <v>57</v>
      </c>
      <c r="D13" s="2">
        <v>50</v>
      </c>
      <c r="E13" s="4">
        <v>380</v>
      </c>
      <c r="F13" s="4">
        <v>190</v>
      </c>
      <c r="G13" s="4">
        <v>658.07</v>
      </c>
      <c r="H13" s="4">
        <v>5</v>
      </c>
      <c r="I13" s="2"/>
      <c r="J13" s="2"/>
    </row>
    <row r="14" spans="1:10" x14ac:dyDescent="0.3">
      <c r="A14" s="2" t="s">
        <v>617</v>
      </c>
      <c r="B14" s="2" t="s">
        <v>618</v>
      </c>
      <c r="C14" s="2" t="s">
        <v>57</v>
      </c>
      <c r="D14" s="2">
        <v>20</v>
      </c>
      <c r="E14" s="4">
        <v>352</v>
      </c>
      <c r="F14" s="4">
        <v>70.400000000000006</v>
      </c>
      <c r="G14" s="2"/>
      <c r="H14" s="2"/>
      <c r="I14" s="2"/>
      <c r="J14" s="2"/>
    </row>
    <row r="15" spans="1:10" x14ac:dyDescent="0.3">
      <c r="A15" s="2" t="s">
        <v>619</v>
      </c>
      <c r="B15" s="2" t="s">
        <v>620</v>
      </c>
      <c r="C15" s="2" t="s">
        <v>57</v>
      </c>
      <c r="D15" s="2">
        <v>10</v>
      </c>
      <c r="E15" s="4">
        <v>376.74</v>
      </c>
      <c r="F15" s="4">
        <v>37.67</v>
      </c>
      <c r="G15" s="2"/>
      <c r="H15" s="2"/>
      <c r="I15" s="2"/>
      <c r="J15" s="2"/>
    </row>
    <row r="16" spans="1:10" x14ac:dyDescent="0.3">
      <c r="A16" s="2" t="s">
        <v>621</v>
      </c>
      <c r="B16" s="2" t="s">
        <v>622</v>
      </c>
      <c r="C16" s="2" t="s">
        <v>57</v>
      </c>
      <c r="D16" s="2">
        <v>20</v>
      </c>
      <c r="E16" s="4">
        <v>1800</v>
      </c>
      <c r="F16" s="4">
        <v>360</v>
      </c>
      <c r="G16" s="2"/>
      <c r="H16" s="2"/>
      <c r="I16" s="2"/>
      <c r="J16" s="2"/>
    </row>
    <row r="17" spans="1:10" x14ac:dyDescent="0.3">
      <c r="A17" s="2" t="s">
        <v>623</v>
      </c>
      <c r="B17" s="2" t="s">
        <v>624</v>
      </c>
      <c r="C17" s="2" t="s">
        <v>244</v>
      </c>
      <c r="D17" s="4">
        <v>33.33</v>
      </c>
      <c r="E17" s="4">
        <v>178</v>
      </c>
      <c r="F17" s="4">
        <v>59.33</v>
      </c>
      <c r="G17" s="4">
        <v>167.67</v>
      </c>
      <c r="H17" s="4">
        <v>3</v>
      </c>
      <c r="I17" s="2"/>
      <c r="J17" s="2"/>
    </row>
    <row r="18" spans="1:10" x14ac:dyDescent="0.3">
      <c r="A18" s="2" t="s">
        <v>625</v>
      </c>
      <c r="B18" s="2" t="s">
        <v>626</v>
      </c>
      <c r="C18" s="2" t="s">
        <v>244</v>
      </c>
      <c r="D18" s="4">
        <v>33.33</v>
      </c>
      <c r="E18" s="4">
        <v>38</v>
      </c>
      <c r="F18" s="4">
        <v>12.67</v>
      </c>
      <c r="G18" s="2"/>
      <c r="H18" s="2"/>
      <c r="I18" s="2"/>
      <c r="J18" s="2"/>
    </row>
    <row r="19" spans="1:10" x14ac:dyDescent="0.3">
      <c r="A19" s="2" t="s">
        <v>627</v>
      </c>
      <c r="B19" s="2" t="s">
        <v>628</v>
      </c>
      <c r="C19" s="2" t="s">
        <v>244</v>
      </c>
      <c r="D19" s="4">
        <v>33.33</v>
      </c>
      <c r="E19" s="4">
        <v>287</v>
      </c>
      <c r="F19" s="4">
        <v>95.66</v>
      </c>
      <c r="G19" s="2"/>
      <c r="H19" s="2"/>
      <c r="I19" s="2"/>
      <c r="J19" s="2"/>
    </row>
    <row r="20" spans="1:10" ht="28.8" customHeight="1" x14ac:dyDescent="0.3">
      <c r="A20" s="2" t="s">
        <v>574</v>
      </c>
      <c r="B20" s="2" t="s">
        <v>629</v>
      </c>
      <c r="C20" s="2" t="s">
        <v>57</v>
      </c>
      <c r="D20" s="2">
        <v>30</v>
      </c>
      <c r="E20" s="4">
        <v>2120</v>
      </c>
      <c r="F20" s="4">
        <v>636</v>
      </c>
      <c r="G20" s="4">
        <v>2601</v>
      </c>
      <c r="H20" s="4">
        <v>7</v>
      </c>
      <c r="I20" s="2"/>
      <c r="J20" s="2"/>
    </row>
    <row r="21" spans="1:10" ht="28.8" x14ac:dyDescent="0.3">
      <c r="A21" s="2" t="s">
        <v>576</v>
      </c>
      <c r="B21" s="2" t="s">
        <v>630</v>
      </c>
      <c r="C21" s="2" t="s">
        <v>57</v>
      </c>
      <c r="D21" s="2">
        <v>15</v>
      </c>
      <c r="E21" s="4">
        <v>1750</v>
      </c>
      <c r="F21" s="4">
        <v>262.5</v>
      </c>
      <c r="G21" s="2"/>
      <c r="H21" s="2"/>
      <c r="I21" s="2"/>
      <c r="J21" s="2"/>
    </row>
    <row r="22" spans="1:10" x14ac:dyDescent="0.3">
      <c r="A22" s="2" t="s">
        <v>578</v>
      </c>
      <c r="B22" s="2" t="s">
        <v>631</v>
      </c>
      <c r="C22" s="2" t="s">
        <v>57</v>
      </c>
      <c r="D22" s="2">
        <v>20</v>
      </c>
      <c r="E22" s="4">
        <v>4400</v>
      </c>
      <c r="F22" s="4">
        <v>880</v>
      </c>
      <c r="G22" s="2"/>
      <c r="H22" s="2"/>
      <c r="I22" s="2"/>
      <c r="J22" s="2"/>
    </row>
    <row r="23" spans="1:10" x14ac:dyDescent="0.3">
      <c r="A23" s="2" t="s">
        <v>580</v>
      </c>
      <c r="B23" s="2" t="s">
        <v>632</v>
      </c>
      <c r="C23" s="2" t="s">
        <v>57</v>
      </c>
      <c r="D23" s="2">
        <v>35</v>
      </c>
      <c r="E23" s="4">
        <v>2350</v>
      </c>
      <c r="F23" s="4">
        <v>822.5</v>
      </c>
      <c r="G23" s="2"/>
      <c r="H23" s="2"/>
      <c r="I23" s="2"/>
      <c r="J23" s="2"/>
    </row>
    <row r="24" spans="1:10" x14ac:dyDescent="0.3">
      <c r="A24" s="2" t="s">
        <v>633</v>
      </c>
      <c r="B24" s="2" t="s">
        <v>634</v>
      </c>
      <c r="C24" s="2" t="s">
        <v>53</v>
      </c>
      <c r="D24" s="2">
        <v>10</v>
      </c>
      <c r="E24" s="4">
        <v>110</v>
      </c>
      <c r="F24" s="4">
        <v>11</v>
      </c>
      <c r="G24" s="4">
        <v>350</v>
      </c>
      <c r="H24" s="4">
        <v>2.5</v>
      </c>
      <c r="I24" s="2"/>
      <c r="J24" s="2"/>
    </row>
    <row r="25" spans="1:10" x14ac:dyDescent="0.3">
      <c r="A25" s="2" t="s">
        <v>635</v>
      </c>
      <c r="B25" s="2" t="s">
        <v>636</v>
      </c>
      <c r="C25" s="2" t="s">
        <v>53</v>
      </c>
      <c r="D25" s="2">
        <v>40</v>
      </c>
      <c r="E25" s="4">
        <v>710</v>
      </c>
      <c r="F25" s="4">
        <v>284</v>
      </c>
      <c r="G25" s="2"/>
      <c r="H25" s="2"/>
      <c r="I25" s="2"/>
      <c r="J25" s="2"/>
    </row>
    <row r="26" spans="1:10" x14ac:dyDescent="0.3">
      <c r="A26" s="2" t="s">
        <v>637</v>
      </c>
      <c r="B26" s="2" t="s">
        <v>638</v>
      </c>
      <c r="C26" s="2" t="s">
        <v>53</v>
      </c>
      <c r="D26" s="2">
        <v>20</v>
      </c>
      <c r="E26" s="4">
        <v>80</v>
      </c>
      <c r="F26" s="4">
        <v>16</v>
      </c>
      <c r="G26" s="2"/>
      <c r="H26" s="2"/>
      <c r="I26" s="2"/>
      <c r="J26" s="2"/>
    </row>
    <row r="27" spans="1:10" x14ac:dyDescent="0.3">
      <c r="A27" s="2" t="s">
        <v>639</v>
      </c>
      <c r="B27" s="2" t="s">
        <v>640</v>
      </c>
      <c r="C27" s="2" t="s">
        <v>53</v>
      </c>
      <c r="D27" s="2">
        <v>30</v>
      </c>
      <c r="E27" s="4">
        <v>130</v>
      </c>
      <c r="F27" s="4">
        <v>39</v>
      </c>
      <c r="G27" s="2"/>
      <c r="H27" s="2"/>
      <c r="I27" s="2"/>
      <c r="J27" s="2"/>
    </row>
    <row r="28" spans="1:10" x14ac:dyDescent="0.3">
      <c r="A28" s="2" t="s">
        <v>641</v>
      </c>
      <c r="B28" s="2" t="s">
        <v>642</v>
      </c>
      <c r="C28" s="2" t="s">
        <v>302</v>
      </c>
      <c r="D28" s="2">
        <v>50</v>
      </c>
      <c r="E28" s="4">
        <v>1315</v>
      </c>
      <c r="F28" s="4">
        <v>657.5</v>
      </c>
      <c r="G28" s="4">
        <v>816.4</v>
      </c>
      <c r="H28" s="4">
        <v>4.5</v>
      </c>
      <c r="I28" s="2"/>
      <c r="J28" s="2"/>
    </row>
    <row r="29" spans="1:10" ht="28.8" x14ac:dyDescent="0.3">
      <c r="A29" s="2" t="s">
        <v>643</v>
      </c>
      <c r="B29" s="2" t="s">
        <v>644</v>
      </c>
      <c r="C29" s="2" t="s">
        <v>302</v>
      </c>
      <c r="D29" s="2">
        <v>40</v>
      </c>
      <c r="E29" s="4">
        <v>383</v>
      </c>
      <c r="F29" s="4">
        <v>153.19999999999999</v>
      </c>
      <c r="G29" s="2"/>
      <c r="H29" s="2"/>
      <c r="I29" s="2"/>
      <c r="J29" s="2"/>
    </row>
    <row r="30" spans="1:10" x14ac:dyDescent="0.3">
      <c r="A30" s="2" t="s">
        <v>645</v>
      </c>
      <c r="B30" s="2" t="s">
        <v>646</v>
      </c>
      <c r="C30" s="2" t="s">
        <v>302</v>
      </c>
      <c r="D30" s="2">
        <v>10</v>
      </c>
      <c r="E30" s="4">
        <v>57</v>
      </c>
      <c r="F30" s="4">
        <v>5.7</v>
      </c>
      <c r="G30" s="2"/>
      <c r="H30" s="2"/>
      <c r="I30" s="2"/>
      <c r="J30" s="2"/>
    </row>
    <row r="31" spans="1:10" ht="28.8" x14ac:dyDescent="0.3">
      <c r="A31" s="2" t="s">
        <v>647</v>
      </c>
      <c r="B31" s="2" t="s">
        <v>648</v>
      </c>
      <c r="C31" s="2" t="s">
        <v>302</v>
      </c>
      <c r="D31" s="2">
        <v>100</v>
      </c>
      <c r="E31" s="4">
        <v>29500</v>
      </c>
      <c r="F31" s="4">
        <v>29500</v>
      </c>
      <c r="G31" s="4">
        <v>29500</v>
      </c>
      <c r="H31" s="4">
        <v>2.5</v>
      </c>
      <c r="I31" s="2"/>
      <c r="J31" s="2"/>
    </row>
    <row r="32" spans="1:10" x14ac:dyDescent="0.3">
      <c r="A32" s="2" t="s">
        <v>649</v>
      </c>
      <c r="B32" s="2" t="s">
        <v>650</v>
      </c>
      <c r="C32" s="2" t="s">
        <v>651</v>
      </c>
      <c r="D32" s="2">
        <v>70</v>
      </c>
      <c r="E32" s="4">
        <v>1280</v>
      </c>
      <c r="F32" s="4">
        <v>896</v>
      </c>
      <c r="G32" s="4">
        <v>1861.4</v>
      </c>
      <c r="H32" s="4">
        <v>4</v>
      </c>
      <c r="I32" s="2"/>
      <c r="J32" s="2"/>
    </row>
    <row r="33" spans="1:10" x14ac:dyDescent="0.3">
      <c r="A33" s="2" t="s">
        <v>652</v>
      </c>
      <c r="B33" s="2" t="s">
        <v>653</v>
      </c>
      <c r="C33" s="2" t="s">
        <v>651</v>
      </c>
      <c r="D33" s="2">
        <v>30</v>
      </c>
      <c r="E33" s="4">
        <v>3218</v>
      </c>
      <c r="F33" s="4">
        <v>965.4</v>
      </c>
      <c r="G33" s="2"/>
      <c r="H33" s="2"/>
      <c r="I33" s="2"/>
      <c r="J33" s="2"/>
    </row>
    <row r="34" spans="1:10" x14ac:dyDescent="0.3">
      <c r="A34" s="2" t="s">
        <v>654</v>
      </c>
      <c r="B34" s="2" t="s">
        <v>655</v>
      </c>
      <c r="C34" s="2" t="s">
        <v>302</v>
      </c>
      <c r="D34" s="2">
        <v>50</v>
      </c>
      <c r="E34" s="4">
        <v>981</v>
      </c>
      <c r="F34" s="4">
        <v>490.5</v>
      </c>
      <c r="G34" s="4">
        <v>893</v>
      </c>
      <c r="H34" s="4">
        <v>20</v>
      </c>
      <c r="I34" s="2"/>
      <c r="J34" s="2"/>
    </row>
    <row r="35" spans="1:10" x14ac:dyDescent="0.3">
      <c r="A35" s="2" t="s">
        <v>656</v>
      </c>
      <c r="B35" s="2" t="s">
        <v>657</v>
      </c>
      <c r="C35" s="2" t="s">
        <v>302</v>
      </c>
      <c r="D35" s="2">
        <v>50</v>
      </c>
      <c r="E35" s="4">
        <v>805</v>
      </c>
      <c r="F35" s="4">
        <v>402.5</v>
      </c>
      <c r="G35" s="2"/>
      <c r="H35" s="2"/>
      <c r="I35" s="2"/>
      <c r="J35" s="2"/>
    </row>
    <row r="38" spans="1:10" x14ac:dyDescent="0.3">
      <c r="A38" s="9" t="s">
        <v>658</v>
      </c>
    </row>
    <row r="39" spans="1:10" x14ac:dyDescent="0.3">
      <c r="A39" s="9"/>
    </row>
    <row r="40" spans="1:10" x14ac:dyDescent="0.3">
      <c r="A40" s="8" t="s">
        <v>659</v>
      </c>
    </row>
    <row r="41" spans="1:10" x14ac:dyDescent="0.3">
      <c r="A41" s="7" t="s">
        <v>660</v>
      </c>
    </row>
    <row r="42" spans="1:10" x14ac:dyDescent="0.3">
      <c r="A42" s="7" t="s">
        <v>661</v>
      </c>
    </row>
    <row r="49" spans="1:10" ht="28.8" customHeight="1" x14ac:dyDescent="0.3">
      <c r="A49" s="22" t="s">
        <v>592</v>
      </c>
      <c r="B49" s="11" t="s">
        <v>394</v>
      </c>
      <c r="C49" s="11" t="s">
        <v>47</v>
      </c>
      <c r="D49" s="13" t="s">
        <v>593</v>
      </c>
      <c r="E49" s="13" t="s">
        <v>662</v>
      </c>
      <c r="F49" s="13" t="s">
        <v>663</v>
      </c>
      <c r="G49" s="13" t="s">
        <v>664</v>
      </c>
      <c r="H49" s="13" t="s">
        <v>665</v>
      </c>
      <c r="I49" s="13" t="s">
        <v>666</v>
      </c>
      <c r="J49" s="13" t="s">
        <v>599</v>
      </c>
    </row>
    <row r="50" spans="1:10" x14ac:dyDescent="0.3">
      <c r="A50" s="23">
        <v>1</v>
      </c>
      <c r="B50" s="14" t="s">
        <v>600</v>
      </c>
      <c r="C50" s="14" t="s">
        <v>601</v>
      </c>
      <c r="D50" s="15">
        <v>1</v>
      </c>
      <c r="E50" s="16">
        <v>4750</v>
      </c>
      <c r="F50" s="16">
        <v>4750</v>
      </c>
      <c r="G50" s="17">
        <v>4750</v>
      </c>
      <c r="H50" s="19">
        <v>0.08</v>
      </c>
      <c r="I50" s="12" t="s">
        <v>667</v>
      </c>
      <c r="J50" s="12" t="s">
        <v>667</v>
      </c>
    </row>
    <row r="51" spans="1:10" x14ac:dyDescent="0.3">
      <c r="A51" s="23">
        <v>2</v>
      </c>
      <c r="B51" s="14" t="s">
        <v>602</v>
      </c>
      <c r="C51" s="14" t="s">
        <v>603</v>
      </c>
      <c r="D51" s="15">
        <v>1</v>
      </c>
      <c r="E51" s="12">
        <v>523.45000000000005</v>
      </c>
      <c r="F51" s="12">
        <v>523.45000000000005</v>
      </c>
      <c r="G51" s="13">
        <v>523.45000000000005</v>
      </c>
      <c r="H51" s="19">
        <v>0.14499999999999999</v>
      </c>
      <c r="I51" s="12" t="s">
        <v>667</v>
      </c>
      <c r="J51" s="12" t="s">
        <v>667</v>
      </c>
    </row>
    <row r="52" spans="1:10" ht="28.8" customHeight="1" x14ac:dyDescent="0.3">
      <c r="A52" s="23" t="s">
        <v>604</v>
      </c>
      <c r="B52" s="14" t="s">
        <v>668</v>
      </c>
      <c r="C52" s="14" t="s">
        <v>603</v>
      </c>
      <c r="D52" s="15">
        <v>0.5</v>
      </c>
      <c r="E52" s="16">
        <v>5430</v>
      </c>
      <c r="F52" s="16">
        <v>2715</v>
      </c>
      <c r="G52" s="16">
        <v>5530</v>
      </c>
      <c r="H52" s="18">
        <v>0.19500000000000001</v>
      </c>
      <c r="I52" s="12" t="s">
        <v>667</v>
      </c>
      <c r="J52" s="12" t="s">
        <v>667</v>
      </c>
    </row>
    <row r="53" spans="1:10" ht="28.8" customHeight="1" x14ac:dyDescent="0.3">
      <c r="A53" s="23" t="s">
        <v>606</v>
      </c>
      <c r="B53" s="14" t="s">
        <v>669</v>
      </c>
      <c r="C53" s="14" t="s">
        <v>603</v>
      </c>
      <c r="D53" s="15">
        <v>0.5</v>
      </c>
      <c r="E53" s="16">
        <v>5630</v>
      </c>
      <c r="F53" s="16">
        <v>2815</v>
      </c>
      <c r="G53" s="12" t="s">
        <v>667</v>
      </c>
      <c r="H53" s="12" t="s">
        <v>667</v>
      </c>
      <c r="I53" s="12" t="s">
        <v>667</v>
      </c>
      <c r="J53" s="12" t="s">
        <v>667</v>
      </c>
    </row>
    <row r="54" spans="1:10" x14ac:dyDescent="0.3">
      <c r="A54" s="22" t="s">
        <v>670</v>
      </c>
      <c r="B54" s="20" t="s">
        <v>671</v>
      </c>
      <c r="C54" s="20" t="s">
        <v>672</v>
      </c>
      <c r="D54" s="21">
        <v>1</v>
      </c>
      <c r="E54" s="12" t="s">
        <v>667</v>
      </c>
      <c r="F54" s="17">
        <v>5530</v>
      </c>
      <c r="G54" s="17">
        <v>5530</v>
      </c>
      <c r="H54" s="19">
        <v>0.19500000000000001</v>
      </c>
      <c r="I54" s="12" t="s">
        <v>667</v>
      </c>
      <c r="J54" s="12" t="s">
        <v>667</v>
      </c>
    </row>
    <row r="55" spans="1:10" x14ac:dyDescent="0.3">
      <c r="A55" s="23" t="s">
        <v>608</v>
      </c>
      <c r="B55" s="14" t="s">
        <v>609</v>
      </c>
      <c r="C55" s="14" t="s">
        <v>610</v>
      </c>
      <c r="D55" s="15">
        <v>0.75</v>
      </c>
      <c r="E55" s="16">
        <v>1500</v>
      </c>
      <c r="F55" s="16">
        <v>1125</v>
      </c>
      <c r="G55" s="16">
        <v>1375</v>
      </c>
      <c r="H55" s="18">
        <v>6.5000000000000002E-2</v>
      </c>
      <c r="I55" s="12" t="s">
        <v>667</v>
      </c>
      <c r="J55" s="12" t="s">
        <v>667</v>
      </c>
    </row>
    <row r="56" spans="1:10" x14ac:dyDescent="0.3">
      <c r="A56" s="23" t="s">
        <v>611</v>
      </c>
      <c r="B56" s="14" t="s">
        <v>612</v>
      </c>
      <c r="C56" s="14" t="s">
        <v>610</v>
      </c>
      <c r="D56" s="15">
        <v>0.25</v>
      </c>
      <c r="E56" s="16">
        <v>1000</v>
      </c>
      <c r="F56" s="12">
        <v>250</v>
      </c>
      <c r="G56" s="12" t="s">
        <v>667</v>
      </c>
      <c r="H56" s="12" t="s">
        <v>667</v>
      </c>
      <c r="I56" s="12" t="s">
        <v>667</v>
      </c>
      <c r="J56" s="12" t="s">
        <v>667</v>
      </c>
    </row>
    <row r="57" spans="1:10" x14ac:dyDescent="0.3">
      <c r="A57" s="22" t="s">
        <v>673</v>
      </c>
      <c r="B57" s="20" t="s">
        <v>674</v>
      </c>
      <c r="C57" s="20" t="s">
        <v>672</v>
      </c>
      <c r="D57" s="21">
        <v>1</v>
      </c>
      <c r="E57" s="12" t="s">
        <v>667</v>
      </c>
      <c r="F57" s="17">
        <v>1375</v>
      </c>
      <c r="G57" s="17">
        <v>1375</v>
      </c>
      <c r="H57" s="19">
        <v>6.5000000000000002E-2</v>
      </c>
      <c r="I57" s="12" t="s">
        <v>667</v>
      </c>
      <c r="J57" s="12" t="s">
        <v>667</v>
      </c>
    </row>
    <row r="58" spans="1:10" x14ac:dyDescent="0.3">
      <c r="A58" s="23" t="s">
        <v>566</v>
      </c>
      <c r="B58" s="14" t="s">
        <v>613</v>
      </c>
      <c r="C58" s="14" t="s">
        <v>610</v>
      </c>
      <c r="D58" s="15">
        <v>0.75</v>
      </c>
      <c r="E58" s="16">
        <v>1250</v>
      </c>
      <c r="F58" s="12">
        <v>937.5</v>
      </c>
      <c r="G58" s="16">
        <v>1260</v>
      </c>
      <c r="H58" s="18">
        <v>0.03</v>
      </c>
      <c r="I58" s="12" t="s">
        <v>667</v>
      </c>
      <c r="J58" s="12" t="s">
        <v>667</v>
      </c>
    </row>
    <row r="59" spans="1:10" x14ac:dyDescent="0.3">
      <c r="A59" s="23" t="s">
        <v>568</v>
      </c>
      <c r="B59" s="14" t="s">
        <v>675</v>
      </c>
      <c r="C59" s="14" t="s">
        <v>610</v>
      </c>
      <c r="D59" s="15">
        <v>0.25</v>
      </c>
      <c r="E59" s="16">
        <v>1290</v>
      </c>
      <c r="F59" s="12">
        <v>322.5</v>
      </c>
      <c r="G59" s="12" t="s">
        <v>667</v>
      </c>
      <c r="H59" s="12" t="s">
        <v>667</v>
      </c>
      <c r="I59" s="12" t="s">
        <v>667</v>
      </c>
      <c r="J59" s="12" t="s">
        <v>667</v>
      </c>
    </row>
    <row r="60" spans="1:10" x14ac:dyDescent="0.3">
      <c r="A60" s="22" t="s">
        <v>676</v>
      </c>
      <c r="B60" s="20" t="s">
        <v>677</v>
      </c>
      <c r="C60" s="20" t="s">
        <v>672</v>
      </c>
      <c r="D60" s="21">
        <v>1</v>
      </c>
      <c r="E60" s="12" t="s">
        <v>667</v>
      </c>
      <c r="F60" s="17">
        <v>1260</v>
      </c>
      <c r="G60" s="17">
        <v>1260</v>
      </c>
      <c r="H60" s="19">
        <v>0.03</v>
      </c>
      <c r="I60" s="12" t="s">
        <v>667</v>
      </c>
      <c r="J60" s="12" t="s">
        <v>667</v>
      </c>
    </row>
    <row r="61" spans="1:10" x14ac:dyDescent="0.3">
      <c r="A61" s="23" t="s">
        <v>615</v>
      </c>
      <c r="B61" s="14" t="s">
        <v>616</v>
      </c>
      <c r="C61" s="14" t="s">
        <v>57</v>
      </c>
      <c r="D61" s="15">
        <v>0.5</v>
      </c>
      <c r="E61" s="12">
        <v>380</v>
      </c>
      <c r="F61" s="12">
        <v>190</v>
      </c>
      <c r="G61" s="12">
        <v>658.07</v>
      </c>
      <c r="H61" s="18">
        <v>0.05</v>
      </c>
      <c r="I61" s="12" t="s">
        <v>667</v>
      </c>
      <c r="J61" s="12" t="s">
        <v>667</v>
      </c>
    </row>
    <row r="62" spans="1:10" x14ac:dyDescent="0.3">
      <c r="A62" s="23" t="s">
        <v>617</v>
      </c>
      <c r="B62" s="14" t="s">
        <v>618</v>
      </c>
      <c r="C62" s="14" t="s">
        <v>57</v>
      </c>
      <c r="D62" s="15">
        <v>0.2</v>
      </c>
      <c r="E62" s="12">
        <v>352</v>
      </c>
      <c r="F62" s="12">
        <v>70.400000000000006</v>
      </c>
      <c r="G62" s="12" t="s">
        <v>667</v>
      </c>
      <c r="H62" s="12" t="s">
        <v>667</v>
      </c>
      <c r="I62" s="12" t="s">
        <v>667</v>
      </c>
      <c r="J62" s="12" t="s">
        <v>667</v>
      </c>
    </row>
    <row r="63" spans="1:10" x14ac:dyDescent="0.3">
      <c r="A63" s="23" t="s">
        <v>619</v>
      </c>
      <c r="B63" s="14" t="s">
        <v>620</v>
      </c>
      <c r="C63" s="14" t="s">
        <v>57</v>
      </c>
      <c r="D63" s="15">
        <v>0.1</v>
      </c>
      <c r="E63" s="12">
        <v>376.74</v>
      </c>
      <c r="F63" s="12">
        <v>37.67</v>
      </c>
      <c r="G63" s="12" t="s">
        <v>667</v>
      </c>
      <c r="H63" s="12" t="s">
        <v>667</v>
      </c>
      <c r="I63" s="12" t="s">
        <v>667</v>
      </c>
      <c r="J63" s="12" t="s">
        <v>667</v>
      </c>
    </row>
    <row r="64" spans="1:10" x14ac:dyDescent="0.3">
      <c r="A64" s="23" t="s">
        <v>621</v>
      </c>
      <c r="B64" s="14" t="s">
        <v>622</v>
      </c>
      <c r="C64" s="14" t="s">
        <v>57</v>
      </c>
      <c r="D64" s="15">
        <v>0.2</v>
      </c>
      <c r="E64" s="16">
        <v>1800</v>
      </c>
      <c r="F64" s="12">
        <v>360</v>
      </c>
      <c r="G64" s="12" t="s">
        <v>667</v>
      </c>
      <c r="H64" s="12" t="s">
        <v>667</v>
      </c>
      <c r="I64" s="12" t="s">
        <v>667</v>
      </c>
      <c r="J64" s="12" t="s">
        <v>667</v>
      </c>
    </row>
    <row r="65" spans="1:10" x14ac:dyDescent="0.3">
      <c r="A65" s="22" t="s">
        <v>678</v>
      </c>
      <c r="B65" s="20" t="s">
        <v>679</v>
      </c>
      <c r="C65" s="20" t="s">
        <v>672</v>
      </c>
      <c r="D65" s="21">
        <v>1</v>
      </c>
      <c r="E65" s="12" t="s">
        <v>667</v>
      </c>
      <c r="F65" s="13">
        <v>658.07</v>
      </c>
      <c r="G65" s="13">
        <v>658.07</v>
      </c>
      <c r="H65" s="19">
        <v>0.05</v>
      </c>
      <c r="I65" s="12" t="s">
        <v>667</v>
      </c>
      <c r="J65" s="12" t="s">
        <v>667</v>
      </c>
    </row>
    <row r="66" spans="1:10" x14ac:dyDescent="0.3">
      <c r="A66" s="23" t="s">
        <v>623</v>
      </c>
      <c r="B66" s="14" t="s">
        <v>624</v>
      </c>
      <c r="C66" s="14" t="s">
        <v>244</v>
      </c>
      <c r="D66" s="18">
        <v>0.33329999999999999</v>
      </c>
      <c r="E66" s="12">
        <v>178</v>
      </c>
      <c r="F66" s="12">
        <v>59.33</v>
      </c>
      <c r="G66" s="12">
        <v>167.67</v>
      </c>
      <c r="H66" s="18">
        <v>0.03</v>
      </c>
      <c r="I66" s="12" t="s">
        <v>667</v>
      </c>
      <c r="J66" s="12" t="s">
        <v>667</v>
      </c>
    </row>
    <row r="67" spans="1:10" x14ac:dyDescent="0.3">
      <c r="A67" s="23" t="s">
        <v>625</v>
      </c>
      <c r="B67" s="14" t="s">
        <v>626</v>
      </c>
      <c r="C67" s="14" t="s">
        <v>244</v>
      </c>
      <c r="D67" s="18">
        <v>0.33329999999999999</v>
      </c>
      <c r="E67" s="12">
        <v>38</v>
      </c>
      <c r="F67" s="12">
        <v>12.67</v>
      </c>
      <c r="G67" s="12" t="s">
        <v>667</v>
      </c>
      <c r="H67" s="12" t="s">
        <v>667</v>
      </c>
      <c r="I67" s="12" t="s">
        <v>667</v>
      </c>
      <c r="J67" s="12" t="s">
        <v>667</v>
      </c>
    </row>
    <row r="68" spans="1:10" x14ac:dyDescent="0.3">
      <c r="A68" s="23" t="s">
        <v>627</v>
      </c>
      <c r="B68" s="14" t="s">
        <v>628</v>
      </c>
      <c r="C68" s="14" t="s">
        <v>244</v>
      </c>
      <c r="D68" s="18">
        <v>0.33329999999999999</v>
      </c>
      <c r="E68" s="12">
        <v>287</v>
      </c>
      <c r="F68" s="12">
        <v>95.66</v>
      </c>
      <c r="G68" s="12" t="s">
        <v>667</v>
      </c>
      <c r="H68" s="12" t="s">
        <v>667</v>
      </c>
      <c r="I68" s="12" t="s">
        <v>667</v>
      </c>
      <c r="J68" s="12" t="s">
        <v>667</v>
      </c>
    </row>
    <row r="69" spans="1:10" x14ac:dyDescent="0.3">
      <c r="A69" s="22" t="s">
        <v>680</v>
      </c>
      <c r="B69" s="20" t="s">
        <v>681</v>
      </c>
      <c r="C69" s="20" t="s">
        <v>672</v>
      </c>
      <c r="D69" s="21">
        <v>1</v>
      </c>
      <c r="E69" s="12" t="s">
        <v>667</v>
      </c>
      <c r="F69" s="13">
        <v>167.66</v>
      </c>
      <c r="G69" s="13">
        <v>167.67</v>
      </c>
      <c r="H69" s="19">
        <v>0.03</v>
      </c>
      <c r="I69" s="12" t="s">
        <v>667</v>
      </c>
      <c r="J69" s="12" t="s">
        <v>667</v>
      </c>
    </row>
    <row r="70" spans="1:10" ht="28.8" customHeight="1" x14ac:dyDescent="0.3">
      <c r="A70" s="23" t="s">
        <v>574</v>
      </c>
      <c r="B70" s="14" t="s">
        <v>682</v>
      </c>
      <c r="C70" s="14" t="s">
        <v>57</v>
      </c>
      <c r="D70" s="15">
        <v>0.3</v>
      </c>
      <c r="E70" s="16">
        <v>2120</v>
      </c>
      <c r="F70" s="12">
        <v>636</v>
      </c>
      <c r="G70" s="16">
        <v>2601</v>
      </c>
      <c r="H70" s="18">
        <v>7.0000000000000007E-2</v>
      </c>
      <c r="I70" s="12" t="s">
        <v>667</v>
      </c>
      <c r="J70" s="12" t="s">
        <v>667</v>
      </c>
    </row>
    <row r="71" spans="1:10" ht="28.8" customHeight="1" x14ac:dyDescent="0.3">
      <c r="A71" s="23" t="s">
        <v>576</v>
      </c>
      <c r="B71" s="14" t="s">
        <v>683</v>
      </c>
      <c r="C71" s="14" t="s">
        <v>57</v>
      </c>
      <c r="D71" s="15">
        <v>0.15</v>
      </c>
      <c r="E71" s="16">
        <v>1750</v>
      </c>
      <c r="F71" s="12">
        <v>262.5</v>
      </c>
      <c r="G71" s="12" t="s">
        <v>667</v>
      </c>
      <c r="H71" s="12" t="s">
        <v>667</v>
      </c>
      <c r="I71" s="12" t="s">
        <v>667</v>
      </c>
      <c r="J71" s="12" t="s">
        <v>667</v>
      </c>
    </row>
    <row r="72" spans="1:10" x14ac:dyDescent="0.3">
      <c r="A72" s="23" t="s">
        <v>578</v>
      </c>
      <c r="B72" s="14" t="s">
        <v>631</v>
      </c>
      <c r="C72" s="14" t="s">
        <v>57</v>
      </c>
      <c r="D72" s="15">
        <v>0.2</v>
      </c>
      <c r="E72" s="16">
        <v>4400</v>
      </c>
      <c r="F72" s="12">
        <v>880</v>
      </c>
      <c r="G72" s="12" t="s">
        <v>667</v>
      </c>
      <c r="H72" s="12" t="s">
        <v>667</v>
      </c>
      <c r="I72" s="12" t="s">
        <v>667</v>
      </c>
      <c r="J72" s="12" t="s">
        <v>667</v>
      </c>
    </row>
    <row r="73" spans="1:10" x14ac:dyDescent="0.3">
      <c r="A73" s="23" t="s">
        <v>580</v>
      </c>
      <c r="B73" s="14" t="s">
        <v>632</v>
      </c>
      <c r="C73" s="14" t="s">
        <v>57</v>
      </c>
      <c r="D73" s="15">
        <v>0.35</v>
      </c>
      <c r="E73" s="16">
        <v>2350</v>
      </c>
      <c r="F73" s="12">
        <v>822.5</v>
      </c>
      <c r="G73" s="12" t="s">
        <v>667</v>
      </c>
      <c r="H73" s="12" t="s">
        <v>667</v>
      </c>
      <c r="I73" s="12" t="s">
        <v>667</v>
      </c>
      <c r="J73" s="12" t="s">
        <v>667</v>
      </c>
    </row>
    <row r="74" spans="1:10" x14ac:dyDescent="0.3">
      <c r="A74" s="22" t="s">
        <v>684</v>
      </c>
      <c r="B74" s="20" t="s">
        <v>685</v>
      </c>
      <c r="C74" s="20" t="s">
        <v>672</v>
      </c>
      <c r="D74" s="21">
        <v>1</v>
      </c>
      <c r="E74" s="12" t="s">
        <v>667</v>
      </c>
      <c r="F74" s="17">
        <v>2601</v>
      </c>
      <c r="G74" s="17">
        <v>2601</v>
      </c>
      <c r="H74" s="19">
        <v>7.0000000000000007E-2</v>
      </c>
      <c r="I74" s="12" t="s">
        <v>667</v>
      </c>
      <c r="J74" s="12" t="s">
        <v>667</v>
      </c>
    </row>
    <row r="75" spans="1:10" x14ac:dyDescent="0.3">
      <c r="A75" s="23" t="s">
        <v>633</v>
      </c>
      <c r="B75" s="14" t="s">
        <v>634</v>
      </c>
      <c r="C75" s="14" t="s">
        <v>53</v>
      </c>
      <c r="D75" s="15">
        <v>0.1</v>
      </c>
      <c r="E75" s="12">
        <v>110</v>
      </c>
      <c r="F75" s="12">
        <v>11</v>
      </c>
      <c r="G75" s="12">
        <v>350</v>
      </c>
      <c r="H75" s="18">
        <v>2.5000000000000001E-2</v>
      </c>
      <c r="I75" s="12" t="s">
        <v>667</v>
      </c>
      <c r="J75" s="12" t="s">
        <v>667</v>
      </c>
    </row>
    <row r="76" spans="1:10" x14ac:dyDescent="0.3">
      <c r="A76" s="23" t="s">
        <v>635</v>
      </c>
      <c r="B76" s="14" t="s">
        <v>636</v>
      </c>
      <c r="C76" s="14" t="s">
        <v>53</v>
      </c>
      <c r="D76" s="15">
        <v>0.4</v>
      </c>
      <c r="E76" s="12">
        <v>710</v>
      </c>
      <c r="F76" s="12">
        <v>284</v>
      </c>
      <c r="G76" s="12" t="s">
        <v>667</v>
      </c>
      <c r="H76" s="12" t="s">
        <v>667</v>
      </c>
      <c r="I76" s="12" t="s">
        <v>667</v>
      </c>
      <c r="J76" s="12" t="s">
        <v>667</v>
      </c>
    </row>
    <row r="77" spans="1:10" x14ac:dyDescent="0.3">
      <c r="A77" s="23" t="s">
        <v>637</v>
      </c>
      <c r="B77" s="14" t="s">
        <v>638</v>
      </c>
      <c r="C77" s="14" t="s">
        <v>53</v>
      </c>
      <c r="D77" s="15">
        <v>0.2</v>
      </c>
      <c r="E77" s="12">
        <v>80</v>
      </c>
      <c r="F77" s="12">
        <v>16</v>
      </c>
      <c r="G77" s="12" t="s">
        <v>667</v>
      </c>
      <c r="H77" s="12" t="s">
        <v>667</v>
      </c>
      <c r="I77" s="12" t="s">
        <v>667</v>
      </c>
      <c r="J77" s="12" t="s">
        <v>667</v>
      </c>
    </row>
    <row r="78" spans="1:10" x14ac:dyDescent="0.3">
      <c r="A78" s="23" t="s">
        <v>639</v>
      </c>
      <c r="B78" s="14" t="s">
        <v>640</v>
      </c>
      <c r="C78" s="14" t="s">
        <v>53</v>
      </c>
      <c r="D78" s="15">
        <v>0.3</v>
      </c>
      <c r="E78" s="12">
        <v>130</v>
      </c>
      <c r="F78" s="12">
        <v>39</v>
      </c>
      <c r="G78" s="12" t="s">
        <v>667</v>
      </c>
      <c r="H78" s="12" t="s">
        <v>667</v>
      </c>
      <c r="I78" s="12" t="s">
        <v>667</v>
      </c>
      <c r="J78" s="12" t="s">
        <v>667</v>
      </c>
    </row>
    <row r="79" spans="1:10" x14ac:dyDescent="0.3">
      <c r="A79" s="22" t="s">
        <v>686</v>
      </c>
      <c r="B79" s="20" t="s">
        <v>687</v>
      </c>
      <c r="C79" s="20" t="s">
        <v>672</v>
      </c>
      <c r="D79" s="21">
        <v>1</v>
      </c>
      <c r="E79" s="12" t="s">
        <v>667</v>
      </c>
      <c r="F79" s="13">
        <v>350</v>
      </c>
      <c r="G79" s="13">
        <v>350</v>
      </c>
      <c r="H79" s="19">
        <v>2.5000000000000001E-2</v>
      </c>
      <c r="I79" s="12" t="s">
        <v>667</v>
      </c>
      <c r="J79" s="12" t="s">
        <v>667</v>
      </c>
    </row>
    <row r="80" spans="1:10" x14ac:dyDescent="0.3">
      <c r="A80" s="23" t="s">
        <v>641</v>
      </c>
      <c r="B80" s="14" t="s">
        <v>642</v>
      </c>
      <c r="C80" s="14" t="s">
        <v>302</v>
      </c>
      <c r="D80" s="15">
        <v>0.5</v>
      </c>
      <c r="E80" s="16">
        <v>1315</v>
      </c>
      <c r="F80" s="12">
        <v>657.5</v>
      </c>
      <c r="G80" s="12">
        <v>816.4</v>
      </c>
      <c r="H80" s="18">
        <v>4.4999999999999998E-2</v>
      </c>
      <c r="I80" s="12" t="s">
        <v>667</v>
      </c>
      <c r="J80" s="12" t="s">
        <v>667</v>
      </c>
    </row>
    <row r="81" spans="1:10" ht="28.8" customHeight="1" x14ac:dyDescent="0.3">
      <c r="A81" s="23" t="s">
        <v>643</v>
      </c>
      <c r="B81" s="14" t="s">
        <v>644</v>
      </c>
      <c r="C81" s="14" t="s">
        <v>302</v>
      </c>
      <c r="D81" s="15">
        <v>0.4</v>
      </c>
      <c r="E81" s="12">
        <v>383</v>
      </c>
      <c r="F81" s="12">
        <v>153.19999999999999</v>
      </c>
      <c r="G81" s="12" t="s">
        <v>667</v>
      </c>
      <c r="H81" s="12" t="s">
        <v>667</v>
      </c>
      <c r="I81" s="12" t="s">
        <v>667</v>
      </c>
      <c r="J81" s="12" t="s">
        <v>667</v>
      </c>
    </row>
    <row r="82" spans="1:10" x14ac:dyDescent="0.3">
      <c r="A82" s="23" t="s">
        <v>645</v>
      </c>
      <c r="B82" s="14" t="s">
        <v>646</v>
      </c>
      <c r="C82" s="14" t="s">
        <v>302</v>
      </c>
      <c r="D82" s="15">
        <v>0.1</v>
      </c>
      <c r="E82" s="12">
        <v>57</v>
      </c>
      <c r="F82" s="12">
        <v>5.7</v>
      </c>
      <c r="G82" s="12" t="s">
        <v>667</v>
      </c>
      <c r="H82" s="12" t="s">
        <v>667</v>
      </c>
      <c r="I82" s="12" t="s">
        <v>667</v>
      </c>
      <c r="J82" s="12" t="s">
        <v>667</v>
      </c>
    </row>
    <row r="83" spans="1:10" ht="28.8" customHeight="1" x14ac:dyDescent="0.3">
      <c r="A83" s="22" t="s">
        <v>688</v>
      </c>
      <c r="B83" s="20" t="s">
        <v>689</v>
      </c>
      <c r="C83" s="20" t="s">
        <v>672</v>
      </c>
      <c r="D83" s="21">
        <v>1</v>
      </c>
      <c r="E83" s="12" t="s">
        <v>667</v>
      </c>
      <c r="F83" s="13">
        <v>816.4</v>
      </c>
      <c r="G83" s="13">
        <v>816.4</v>
      </c>
      <c r="H83" s="19">
        <v>4.4999999999999998E-2</v>
      </c>
      <c r="I83" s="12" t="s">
        <v>667</v>
      </c>
      <c r="J83" s="12" t="s">
        <v>667</v>
      </c>
    </row>
    <row r="84" spans="1:10" ht="28.8" customHeight="1" x14ac:dyDescent="0.3">
      <c r="A84" s="23">
        <v>11</v>
      </c>
      <c r="B84" s="14" t="s">
        <v>690</v>
      </c>
      <c r="C84" s="14" t="s">
        <v>302</v>
      </c>
      <c r="D84" s="15">
        <v>1</v>
      </c>
      <c r="E84" s="16">
        <v>29500</v>
      </c>
      <c r="F84" s="16">
        <v>29500</v>
      </c>
      <c r="G84" s="17">
        <v>29500</v>
      </c>
      <c r="H84" s="19">
        <v>2.5000000000000001E-2</v>
      </c>
      <c r="I84" s="12" t="s">
        <v>667</v>
      </c>
      <c r="J84" s="12" t="s">
        <v>667</v>
      </c>
    </row>
    <row r="85" spans="1:10" x14ac:dyDescent="0.3">
      <c r="A85" s="23" t="s">
        <v>649</v>
      </c>
      <c r="B85" s="14" t="s">
        <v>650</v>
      </c>
      <c r="C85" s="14" t="s">
        <v>651</v>
      </c>
      <c r="D85" s="15">
        <v>0.7</v>
      </c>
      <c r="E85" s="16">
        <v>1280</v>
      </c>
      <c r="F85" s="12">
        <v>896</v>
      </c>
      <c r="G85" s="16">
        <v>1861.4</v>
      </c>
      <c r="H85" s="18">
        <v>0.04</v>
      </c>
      <c r="I85" s="12" t="s">
        <v>667</v>
      </c>
      <c r="J85" s="12" t="s">
        <v>667</v>
      </c>
    </row>
    <row r="86" spans="1:10" x14ac:dyDescent="0.3">
      <c r="A86" s="23" t="s">
        <v>652</v>
      </c>
      <c r="B86" s="14" t="s">
        <v>653</v>
      </c>
      <c r="C86" s="14" t="s">
        <v>651</v>
      </c>
      <c r="D86" s="15">
        <v>0.3</v>
      </c>
      <c r="E86" s="16">
        <v>3218</v>
      </c>
      <c r="F86" s="12">
        <v>965.4</v>
      </c>
      <c r="G86" s="12" t="s">
        <v>667</v>
      </c>
      <c r="H86" s="12" t="s">
        <v>667</v>
      </c>
      <c r="I86" s="12" t="s">
        <v>667</v>
      </c>
      <c r="J86" s="12" t="s">
        <v>667</v>
      </c>
    </row>
    <row r="87" spans="1:10" ht="28.8" customHeight="1" x14ac:dyDescent="0.3">
      <c r="A87" s="22" t="s">
        <v>691</v>
      </c>
      <c r="B87" s="20" t="s">
        <v>692</v>
      </c>
      <c r="C87" s="20" t="s">
        <v>672</v>
      </c>
      <c r="D87" s="21">
        <v>1</v>
      </c>
      <c r="E87" s="12" t="s">
        <v>667</v>
      </c>
      <c r="F87" s="17">
        <v>1861.4</v>
      </c>
      <c r="G87" s="17">
        <v>1861.4</v>
      </c>
      <c r="H87" s="19">
        <v>0.04</v>
      </c>
      <c r="I87" s="12" t="s">
        <v>667</v>
      </c>
      <c r="J87" s="12" t="s">
        <v>667</v>
      </c>
    </row>
    <row r="88" spans="1:10" x14ac:dyDescent="0.3">
      <c r="A88" s="23" t="s">
        <v>654</v>
      </c>
      <c r="B88" s="14" t="s">
        <v>655</v>
      </c>
      <c r="C88" s="14" t="s">
        <v>302</v>
      </c>
      <c r="D88" s="15">
        <v>0.5</v>
      </c>
      <c r="E88" s="12">
        <v>981</v>
      </c>
      <c r="F88" s="12">
        <v>490.5</v>
      </c>
      <c r="G88" s="12">
        <v>893</v>
      </c>
      <c r="H88" s="18">
        <v>0.2</v>
      </c>
      <c r="I88" s="12" t="s">
        <v>667</v>
      </c>
      <c r="J88" s="12" t="s">
        <v>667</v>
      </c>
    </row>
    <row r="89" spans="1:10" x14ac:dyDescent="0.3">
      <c r="A89" s="23" t="s">
        <v>656</v>
      </c>
      <c r="B89" s="14" t="s">
        <v>657</v>
      </c>
      <c r="C89" s="14" t="s">
        <v>302</v>
      </c>
      <c r="D89" s="15">
        <v>0.5</v>
      </c>
      <c r="E89" s="12">
        <v>805</v>
      </c>
      <c r="F89" s="12">
        <v>402.5</v>
      </c>
      <c r="G89" s="12" t="s">
        <v>667</v>
      </c>
      <c r="H89" s="12" t="s">
        <v>667</v>
      </c>
      <c r="I89" s="12" t="s">
        <v>667</v>
      </c>
      <c r="J89" s="12" t="s">
        <v>667</v>
      </c>
    </row>
    <row r="90" spans="1:10" ht="28.8" customHeight="1" x14ac:dyDescent="0.3">
      <c r="A90" s="22" t="s">
        <v>693</v>
      </c>
      <c r="B90" s="20" t="s">
        <v>694</v>
      </c>
      <c r="C90" s="20" t="s">
        <v>672</v>
      </c>
      <c r="D90" s="21">
        <v>1</v>
      </c>
      <c r="E90" s="12" t="s">
        <v>667</v>
      </c>
      <c r="F90" s="13">
        <v>893</v>
      </c>
      <c r="G90" s="13">
        <v>893</v>
      </c>
      <c r="H90" s="19">
        <v>0.2</v>
      </c>
      <c r="I90" s="12" t="s">
        <v>667</v>
      </c>
      <c r="J90" s="12" t="s">
        <v>667</v>
      </c>
    </row>
    <row r="92" spans="1:10" x14ac:dyDescent="0.3">
      <c r="A92" t="s">
        <v>695</v>
      </c>
    </row>
  </sheetData>
  <pageMargins left="0.25" right="0.25" top="0.5" bottom="0.5" header="0.5" footer="0.5"/>
  <pageSetup fitToHeight="0" orientation="portrait"/>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1"/>
  <sheetViews>
    <sheetView showGridLines="0" workbookViewId="0">
      <pane ySplit="4" topLeftCell="A5" activePane="bottomLeft" state="frozen"/>
      <selection activeCell="F10" sqref="F10"/>
      <selection pane="bottomLeft" activeCell="F10" sqref="F10"/>
    </sheetView>
  </sheetViews>
  <sheetFormatPr defaultRowHeight="14.4" x14ac:dyDescent="0.3"/>
  <cols>
    <col min="1" max="1" width="14" customWidth="1"/>
    <col min="2" max="2" width="55" customWidth="1"/>
    <col min="3" max="3" width="32" customWidth="1"/>
    <col min="4" max="4" width="24" customWidth="1"/>
  </cols>
  <sheetData>
    <row r="1" spans="1:4" ht="18" customHeight="1" x14ac:dyDescent="0.3">
      <c r="A1" s="5" t="s">
        <v>696</v>
      </c>
    </row>
    <row r="2" spans="1:4" x14ac:dyDescent="0.3">
      <c r="A2" s="6" t="s">
        <v>697</v>
      </c>
    </row>
    <row r="4" spans="1:4" x14ac:dyDescent="0.3">
      <c r="A4" s="1" t="s">
        <v>698</v>
      </c>
      <c r="B4" s="1" t="s">
        <v>699</v>
      </c>
      <c r="C4" s="1" t="s">
        <v>700</v>
      </c>
      <c r="D4" s="1" t="s">
        <v>701</v>
      </c>
    </row>
    <row r="5" spans="1:4" ht="28.8" customHeight="1" x14ac:dyDescent="0.3">
      <c r="A5" s="2" t="s">
        <v>702</v>
      </c>
      <c r="B5" s="2" t="s">
        <v>703</v>
      </c>
      <c r="C5" s="2" t="s">
        <v>704</v>
      </c>
      <c r="D5" s="2" t="s">
        <v>705</v>
      </c>
    </row>
    <row r="6" spans="1:4" x14ac:dyDescent="0.3">
      <c r="A6" s="2" t="s">
        <v>706</v>
      </c>
      <c r="B6" s="2" t="s">
        <v>707</v>
      </c>
      <c r="C6" s="2" t="s">
        <v>704</v>
      </c>
      <c r="D6" s="2" t="s">
        <v>705</v>
      </c>
    </row>
    <row r="7" spans="1:4" ht="28.8" customHeight="1" x14ac:dyDescent="0.3">
      <c r="A7" s="2" t="s">
        <v>708</v>
      </c>
      <c r="B7" s="2" t="s">
        <v>709</v>
      </c>
      <c r="C7" s="2" t="s">
        <v>704</v>
      </c>
      <c r="D7" s="2" t="s">
        <v>705</v>
      </c>
    </row>
    <row r="8" spans="1:4" x14ac:dyDescent="0.3">
      <c r="A8" s="2" t="s">
        <v>710</v>
      </c>
      <c r="B8" s="2" t="s">
        <v>711</v>
      </c>
      <c r="C8" s="2" t="s">
        <v>712</v>
      </c>
      <c r="D8" s="2" t="s">
        <v>713</v>
      </c>
    </row>
    <row r="9" spans="1:4" x14ac:dyDescent="0.3">
      <c r="A9" s="2" t="s">
        <v>714</v>
      </c>
      <c r="B9" s="2" t="s">
        <v>715</v>
      </c>
      <c r="C9" s="2" t="s">
        <v>712</v>
      </c>
      <c r="D9" s="2" t="s">
        <v>716</v>
      </c>
    </row>
    <row r="10" spans="1:4" x14ac:dyDescent="0.3">
      <c r="A10" s="2" t="s">
        <v>717</v>
      </c>
      <c r="B10" s="2" t="s">
        <v>718</v>
      </c>
      <c r="C10" s="2" t="s">
        <v>712</v>
      </c>
      <c r="D10" s="2" t="s">
        <v>719</v>
      </c>
    </row>
    <row r="11" spans="1:4" x14ac:dyDescent="0.3">
      <c r="A11" s="2" t="s">
        <v>720</v>
      </c>
      <c r="B11" s="2" t="s">
        <v>721</v>
      </c>
      <c r="C11" s="2" t="s">
        <v>712</v>
      </c>
      <c r="D11" s="2" t="s">
        <v>722</v>
      </c>
    </row>
    <row r="12" spans="1:4" x14ac:dyDescent="0.3">
      <c r="A12" s="2" t="s">
        <v>723</v>
      </c>
      <c r="B12" s="2" t="s">
        <v>724</v>
      </c>
      <c r="C12" s="2" t="s">
        <v>712</v>
      </c>
      <c r="D12" s="2" t="s">
        <v>725</v>
      </c>
    </row>
    <row r="13" spans="1:4" x14ac:dyDescent="0.3">
      <c r="A13" s="2" t="s">
        <v>726</v>
      </c>
      <c r="B13" s="2" t="s">
        <v>727</v>
      </c>
      <c r="C13" s="2" t="s">
        <v>712</v>
      </c>
      <c r="D13" s="2" t="s">
        <v>728</v>
      </c>
    </row>
    <row r="14" spans="1:4" x14ac:dyDescent="0.3">
      <c r="A14" s="2" t="s">
        <v>729</v>
      </c>
      <c r="B14" s="2" t="s">
        <v>730</v>
      </c>
      <c r="C14" s="2" t="s">
        <v>712</v>
      </c>
      <c r="D14" s="2" t="s">
        <v>731</v>
      </c>
    </row>
    <row r="15" spans="1:4" x14ac:dyDescent="0.3">
      <c r="A15" s="2" t="s">
        <v>732</v>
      </c>
      <c r="B15" s="2" t="s">
        <v>733</v>
      </c>
      <c r="C15" s="2" t="s">
        <v>712</v>
      </c>
      <c r="D15" s="2" t="s">
        <v>734</v>
      </c>
    </row>
    <row r="16" spans="1:4" x14ac:dyDescent="0.3">
      <c r="A16" s="2" t="s">
        <v>735</v>
      </c>
      <c r="B16" s="2" t="s">
        <v>736</v>
      </c>
      <c r="C16" s="2" t="s">
        <v>712</v>
      </c>
      <c r="D16" s="2" t="s">
        <v>737</v>
      </c>
    </row>
    <row r="17" spans="1:4" ht="43.2" customHeight="1" x14ac:dyDescent="0.3">
      <c r="A17" s="2" t="s">
        <v>738</v>
      </c>
      <c r="B17" s="2" t="s">
        <v>739</v>
      </c>
      <c r="C17" s="2" t="s">
        <v>740</v>
      </c>
      <c r="D17" s="2" t="s">
        <v>741</v>
      </c>
    </row>
    <row r="18" spans="1:4" ht="43.2" customHeight="1" x14ac:dyDescent="0.3">
      <c r="A18" s="2" t="s">
        <v>742</v>
      </c>
      <c r="B18" s="2" t="s">
        <v>743</v>
      </c>
      <c r="C18" s="2" t="s">
        <v>740</v>
      </c>
      <c r="D18" s="2" t="s">
        <v>744</v>
      </c>
    </row>
    <row r="19" spans="1:4" ht="43.2" customHeight="1" x14ac:dyDescent="0.3">
      <c r="A19" s="2" t="s">
        <v>742</v>
      </c>
      <c r="B19" s="2" t="s">
        <v>745</v>
      </c>
      <c r="C19" s="2" t="s">
        <v>740</v>
      </c>
      <c r="D19" s="2" t="s">
        <v>744</v>
      </c>
    </row>
    <row r="20" spans="1:4" ht="43.2" customHeight="1" x14ac:dyDescent="0.3">
      <c r="A20" s="2" t="s">
        <v>746</v>
      </c>
      <c r="B20" s="2" t="s">
        <v>747</v>
      </c>
      <c r="C20" s="2" t="s">
        <v>740</v>
      </c>
      <c r="D20" s="2" t="s">
        <v>748</v>
      </c>
    </row>
    <row r="21" spans="1:4" ht="28.8" customHeight="1" x14ac:dyDescent="0.3">
      <c r="A21" s="2" t="s">
        <v>749</v>
      </c>
      <c r="B21" s="2" t="s">
        <v>750</v>
      </c>
      <c r="C21" s="2" t="s">
        <v>704</v>
      </c>
      <c r="D21" s="2" t="s">
        <v>751</v>
      </c>
    </row>
  </sheetData>
  <pageMargins left="0.25" right="0.25" top="0.5" bottom="0.5" header="0.5" footer="0.5"/>
  <pageSetup fitToHeight="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Legend</vt:lpstr>
      <vt:lpstr>Estimator</vt:lpstr>
      <vt:lpstr>01 Building Cost</vt:lpstr>
      <vt:lpstr>02 Services</vt:lpstr>
      <vt:lpstr>03 TPQA Consultancy</vt:lpstr>
      <vt:lpstr>04 Lifts</vt:lpstr>
      <vt:lpstr>05 RCC Water Tank</vt:lpstr>
      <vt:lpstr>06 Development of Site</vt:lpstr>
      <vt:lpstr>07 Specialized E&amp;M</vt:lpstr>
      <vt:lpstr>08 Notes</vt:lpstr>
      <vt:lpstr>09 Cost Index</vt:lpstr>
      <vt:lpstr>10 Source 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CPWD Plinth Area Rates 2025</dc:title>
  <dc:subject>Excel 2007-compatible cleaned tables from supplied PDF</dc:subject>
  <dc:creator>OpenAI</dc:creator>
  <cp:lastModifiedBy>nishant</cp:lastModifiedBy>
  <dcterms:created xsi:type="dcterms:W3CDTF">2026-09-01T12:19:26Z</dcterms:created>
  <dcterms:modified xsi:type="dcterms:W3CDTF">2026-09-02T21:50:42Z</dcterms:modified>
</cp:coreProperties>
</file>