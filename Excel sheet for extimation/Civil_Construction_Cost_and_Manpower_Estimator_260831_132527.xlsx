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utoHotkey\Final versions of ahk files\OFFICE PRODUCTIVITY PALETTE &amp; ACTION HUB 2.0.0\"/>
    </mc:Choice>
  </mc:AlternateContent>
  <bookViews>
    <workbookView xWindow="0" yWindow="0" windowWidth="12252" windowHeight="4500" tabRatio="500" firstSheet="2" activeTab="4"/>
  </bookViews>
  <sheets>
    <sheet name="Project Summary &amp; BOQ" sheetId="1" r:id="rId1"/>
    <sheet name="Material Schedule (Tier 1)" sheetId="2" r:id="rId2"/>
    <sheet name="Manpower &amp; Labor (Tier 1)" sheetId="3" r:id="rId3"/>
    <sheet name="Trade Packages (Tier 2)" sheetId="4" r:id="rId4"/>
    <sheet name="Settings &amp; Rates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4" l="1"/>
  <c r="C11" i="4"/>
  <c r="F11" i="4" s="1"/>
  <c r="E10" i="4"/>
  <c r="F10" i="4" s="1"/>
  <c r="C10" i="4"/>
  <c r="E9" i="4"/>
  <c r="C9" i="4"/>
  <c r="F9" i="4" s="1"/>
  <c r="E8" i="4"/>
  <c r="C8" i="4"/>
  <c r="F8" i="4" s="1"/>
  <c r="E7" i="4"/>
  <c r="F7" i="4" s="1"/>
  <c r="C7" i="4"/>
  <c r="E6" i="4"/>
  <c r="C6" i="4"/>
  <c r="F6" i="4" s="1"/>
  <c r="B3" i="4"/>
  <c r="G19" i="3"/>
  <c r="F15" i="3"/>
  <c r="H15" i="3" s="1"/>
  <c r="E15" i="3"/>
  <c r="C15" i="3"/>
  <c r="I15" i="3" s="1"/>
  <c r="H14" i="3"/>
  <c r="F14" i="3"/>
  <c r="C14" i="3"/>
  <c r="I14" i="3" s="1"/>
  <c r="H13" i="3"/>
  <c r="F13" i="3"/>
  <c r="C13" i="3"/>
  <c r="I13" i="3" s="1"/>
  <c r="I12" i="3"/>
  <c r="H12" i="3"/>
  <c r="F12" i="3"/>
  <c r="E12" i="3"/>
  <c r="C12" i="3"/>
  <c r="G12" i="3" s="1"/>
  <c r="I11" i="3"/>
  <c r="H11" i="3"/>
  <c r="F11" i="3"/>
  <c r="E11" i="3"/>
  <c r="C11" i="3"/>
  <c r="G11" i="3" s="1"/>
  <c r="I10" i="3"/>
  <c r="H10" i="3"/>
  <c r="F10" i="3"/>
  <c r="E10" i="3"/>
  <c r="C10" i="3"/>
  <c r="G10" i="3" s="1"/>
  <c r="I9" i="3"/>
  <c r="H9" i="3"/>
  <c r="F9" i="3"/>
  <c r="E9" i="3"/>
  <c r="C9" i="3"/>
  <c r="G9" i="3" s="1"/>
  <c r="I8" i="3"/>
  <c r="H8" i="3"/>
  <c r="F8" i="3"/>
  <c r="E8" i="3"/>
  <c r="C8" i="3"/>
  <c r="G8" i="3" s="1"/>
  <c r="I7" i="3"/>
  <c r="H7" i="3"/>
  <c r="F7" i="3"/>
  <c r="E7" i="3"/>
  <c r="C7" i="3"/>
  <c r="G7" i="3" s="1"/>
  <c r="I6" i="3"/>
  <c r="H6" i="3"/>
  <c r="F6" i="3"/>
  <c r="C6" i="3"/>
  <c r="G6" i="3" s="1"/>
  <c r="B3" i="3"/>
  <c r="H16" i="2"/>
  <c r="G16" i="2"/>
  <c r="E16" i="2"/>
  <c r="G15" i="2"/>
  <c r="E15" i="2"/>
  <c r="H15" i="2" s="1"/>
  <c r="H14" i="2"/>
  <c r="G14" i="2"/>
  <c r="E14" i="2"/>
  <c r="G13" i="2"/>
  <c r="E13" i="2"/>
  <c r="H13" i="2" s="1"/>
  <c r="H12" i="2"/>
  <c r="G12" i="2"/>
  <c r="E12" i="2"/>
  <c r="G11" i="2"/>
  <c r="E11" i="2"/>
  <c r="H11" i="2" s="1"/>
  <c r="G10" i="2"/>
  <c r="E10" i="2"/>
  <c r="H10" i="2" s="1"/>
  <c r="G9" i="2"/>
  <c r="E9" i="2"/>
  <c r="H9" i="2" s="1"/>
  <c r="G8" i="2"/>
  <c r="E8" i="2"/>
  <c r="H8" i="2" s="1"/>
  <c r="G7" i="2"/>
  <c r="E7" i="2"/>
  <c r="H7" i="2" s="1"/>
  <c r="G6" i="2"/>
  <c r="E6" i="2"/>
  <c r="H6" i="2" s="1"/>
  <c r="H17" i="2" s="1"/>
  <c r="B3" i="2"/>
  <c r="D3" i="2" s="1"/>
  <c r="D8" i="1"/>
  <c r="C14" i="1" s="1"/>
  <c r="D7" i="1"/>
  <c r="C28" i="1" l="1"/>
  <c r="I16" i="3"/>
  <c r="C19" i="1"/>
  <c r="C12" i="1"/>
  <c r="C29" i="1"/>
  <c r="C27" i="1"/>
  <c r="C30" i="1"/>
  <c r="C25" i="1"/>
  <c r="F12" i="4"/>
  <c r="C26" i="1"/>
  <c r="D14" i="1"/>
  <c r="G14" i="3"/>
  <c r="G15" i="3"/>
  <c r="G13" i="3"/>
  <c r="G16" i="3" s="1"/>
  <c r="F20" i="1" s="1"/>
  <c r="D19" i="1" l="1"/>
  <c r="D27" i="1"/>
  <c r="F14" i="4"/>
  <c r="F13" i="4"/>
  <c r="D12" i="1"/>
  <c r="D26" i="1"/>
  <c r="D30" i="1"/>
  <c r="C20" i="1"/>
  <c r="G20" i="3"/>
  <c r="G21" i="3" s="1"/>
  <c r="G22" i="3" s="1"/>
  <c r="G23" i="3" s="1"/>
  <c r="G20" i="1" s="1"/>
  <c r="D25" i="1"/>
  <c r="D29" i="1"/>
  <c r="D28" i="1"/>
  <c r="C13" i="1" l="1"/>
  <c r="G10" i="4"/>
  <c r="G9" i="4"/>
  <c r="G8" i="4"/>
  <c r="G11" i="4"/>
  <c r="G7" i="4"/>
  <c r="G6" i="4"/>
  <c r="E20" i="1"/>
  <c r="D20" i="1"/>
  <c r="G12" i="4"/>
  <c r="G13" i="4"/>
  <c r="C31" i="1"/>
  <c r="C21" i="1"/>
  <c r="D31" i="1" l="1"/>
  <c r="C32" i="1"/>
  <c r="D21" i="1"/>
  <c r="E19" i="1"/>
  <c r="G21" i="1" s="1"/>
  <c r="D13" i="1"/>
  <c r="C15" i="1"/>
  <c r="D32" i="1" l="1"/>
  <c r="E26" i="1"/>
  <c r="E25" i="1"/>
  <c r="E30" i="1"/>
  <c r="E29" i="1"/>
  <c r="E27" i="1"/>
  <c r="E28" i="1"/>
  <c r="D15" i="1"/>
  <c r="E12" i="1"/>
  <c r="F12" i="1" s="1"/>
  <c r="E13" i="1"/>
  <c r="F13" i="1" s="1"/>
  <c r="G13" i="1" s="1"/>
  <c r="E14" i="1"/>
  <c r="F14" i="1" s="1"/>
  <c r="G14" i="1" s="1"/>
  <c r="E31" i="1"/>
  <c r="G12" i="1" l="1"/>
  <c r="F15" i="1"/>
  <c r="G15" i="1" s="1"/>
</calcChain>
</file>

<file path=xl/sharedStrings.xml><?xml version="1.0" encoding="utf-8"?>
<sst xmlns="http://schemas.openxmlformats.org/spreadsheetml/2006/main" count="494" uniqueCount="395">
  <si>
    <t>🏗️ 3-TIER VERIFIED CIVIL COST, MATERIAL &amp; MANPOWER ESTIMATE (BOQ)</t>
  </si>
  <si>
    <t>1. PROJECT SCOPE &amp; QUALITY PARAMETERS</t>
  </si>
  <si>
    <t>Project Name / Location:</t>
  </si>
  <si>
    <t>Standard Residential House / Commercial Building</t>
  </si>
  <si>
    <t>Construction Quality Tier:</t>
  </si>
  <si>
    <t>Standard</t>
  </si>
  <si>
    <t>Total Built-up Area (Sq Ft):</t>
  </si>
  <si>
    <t>Equivalent Area (Sq M):</t>
  </si>
  <si>
    <t>Quality Tier Benchmark Rate (₹ / sq ft):</t>
  </si>
  <si>
    <t>2. 3-TIER RECONCILIATION &amp; 5% CONVERGENCE ENGINE</t>
  </si>
  <si>
    <t>Model Level</t>
  </si>
  <si>
    <t>Estimation Model Description</t>
  </si>
  <si>
    <t>Calculated Cost (₹)</t>
  </si>
  <si>
    <t>Cost / Sq Ft (₹)</t>
  </si>
  <si>
    <t>Mean Budget (₹)</t>
  </si>
  <si>
    <t>Variance (%)</t>
  </si>
  <si>
    <t>Status</t>
  </si>
  <si>
    <t>Tier 1</t>
  </si>
  <si>
    <t>C₁: Bottom-Up Material + Explicit Manpower Schedule</t>
  </si>
  <si>
    <t>Tier 2</t>
  </si>
  <si>
    <t>C₂: Meso Work-Packages Model (Civil + Finish + MEP + 10% COP)</t>
  </si>
  <si>
    <t>Tier 3</t>
  </si>
  <si>
    <t>C₃: Macro Quality Tier Benchmark Model</t>
  </si>
  <si>
    <t>3-TIER RECONCILED MEAN PROJECT BUDGET (₹):</t>
  </si>
  <si>
    <t>Max Variance:</t>
  </si>
  <si>
    <t>3. PRIMARY COST BIFURCATION (MATERIAL + MANPOWER)</t>
  </si>
  <si>
    <t>Cost Component</t>
  </si>
  <si>
    <t>Component Description</t>
  </si>
  <si>
    <t>Total Cost (₹)</t>
  </si>
  <si>
    <t>Share of C₁ (%)</t>
  </si>
  <si>
    <t>Key Metrics / Scope</t>
  </si>
  <si>
    <t>Audit Status</t>
  </si>
  <si>
    <t>🧱 Material Component</t>
  </si>
  <si>
    <t>Steel, Cement, Bricks, Sand, Aggregates, Tiles, Paint, MEP &amp; Joinery</t>
  </si>
  <si>
    <t>11 Material Categories</t>
  </si>
  <si>
    <t>✔️ Formula Linked</t>
  </si>
  <si>
    <t>👷 Manpower / Labor Component</t>
  </si>
  <si>
    <t>9 Trade Crews (Masons, Barbenders, Carpenters, Painters, MEP) + JCB Excavation</t>
  </si>
  <si>
    <t>COMBINED TIER 1 DIRECT COST (₹):</t>
  </si>
  <si>
    <t>100.0%</t>
  </si>
  <si>
    <t>Material:Labor Ratio -&gt;</t>
  </si>
  <si>
    <t>4. TRADE PACKAGE BREAKDOWN &amp; CONTRACTOR OVERHEAD (TIER 2)</t>
  </si>
  <si>
    <t>Pkg No.</t>
  </si>
  <si>
    <t>Trade Package Name</t>
  </si>
  <si>
    <t>Package Cost (₹)</t>
  </si>
  <si>
    <t>Share (%)</t>
  </si>
  <si>
    <t>Linked Schedule</t>
  </si>
  <si>
    <t>Verification</t>
  </si>
  <si>
    <t>1</t>
  </si>
  <si>
    <t>Civil Work Structure (Foundation, RCC, Formwork)</t>
  </si>
  <si>
    <t>Tier 2 Pkg 1</t>
  </si>
  <si>
    <t>✔️ Reconciled</t>
  </si>
  <si>
    <t>2</t>
  </si>
  <si>
    <t>Finishing Works (Flooring, Paint, Plaster, POP)</t>
  </si>
  <si>
    <t>Tier 2 Pkg 2</t>
  </si>
  <si>
    <t>3</t>
  </si>
  <si>
    <t>Electrical Wiring, Switches &amp; Conduit</t>
  </si>
  <si>
    <t>Tier 2 Pkg 3</t>
  </si>
  <si>
    <t>4</t>
  </si>
  <si>
    <t>Plumbing, Sanitaryware &amp; Drainage</t>
  </si>
  <si>
    <t>Tier 2 Pkg 4</t>
  </si>
  <si>
    <t>5</t>
  </si>
  <si>
    <t>Fire Fighting &amp; Safety Provisions</t>
  </si>
  <si>
    <t>Tier 2 Pkg 5</t>
  </si>
  <si>
    <t>6</t>
  </si>
  <si>
    <t>External Development &amp; Landscaping</t>
  </si>
  <si>
    <t>Tier 2 Pkg 6</t>
  </si>
  <si>
    <t>7</t>
  </si>
  <si>
    <t>Contractor Overhead &amp; Profit (COP 10%)</t>
  </si>
  <si>
    <t>10% on Direct</t>
  </si>
  <si>
    <t>✔️ Standard Margin</t>
  </si>
  <si>
    <t>TOTAL TRADE PACKAGE ESTIMATE (₹):</t>
  </si>
  <si>
    <t>Tier 2 Model Status -&gt;</t>
  </si>
  <si>
    <t>✔️ 100% Balanced</t>
  </si>
  <si>
    <t>🧱 TIER 1 - EMPIRICAL MATERIAL QUANTITY &amp; COST SCHEDULE</t>
  </si>
  <si>
    <t>Project Built-up Area (Sq Ft):</t>
  </si>
  <si>
    <t>Area (Sq M):</t>
  </si>
  <si>
    <t>Item No.</t>
  </si>
  <si>
    <t>Material Description</t>
  </si>
  <si>
    <t>Thumb Rule Factor</t>
  </si>
  <si>
    <t>Base Unit</t>
  </si>
  <si>
    <t>Calculated Quantity</t>
  </si>
  <si>
    <t>Unit</t>
  </si>
  <si>
    <t>Unit Rate (₹)</t>
  </si>
  <si>
    <t>Structural Steel (TMT Fe500)</t>
  </si>
  <si>
    <t>Member-wise % of concrete volume</t>
  </si>
  <si>
    <t>Sq Ft</t>
  </si>
  <si>
    <t>kg</t>
  </si>
  <si>
    <t>Cement (OPC/PPC 50kg Bags)</t>
  </si>
  <si>
    <t>RCC (8/m³) + Brick (1.26/m³) + Plaster (0.11/m²) + Tile (0.25/m²)</t>
  </si>
  <si>
    <t>Bags</t>
  </si>
  <si>
    <t>Formwork / Shuttering Ply &amp; Props</t>
  </si>
  <si>
    <t>2.40 m² shuttering per m² plinth</t>
  </si>
  <si>
    <t>sq ft</t>
  </si>
  <si>
    <t>Common Red Clay Bricks</t>
  </si>
  <si>
    <t>18 Bricks per sq ft built-up</t>
  </si>
  <si>
    <t>Nos</t>
  </si>
  <si>
    <t>River / Coarse Sand</t>
  </si>
  <si>
    <t>1.80 cu ft per sq ft built-up</t>
  </si>
  <si>
    <t>cu ft</t>
  </si>
  <si>
    <t>Coarse Aggregate (20mm down)</t>
  </si>
  <si>
    <t>1.35 cu ft per sq ft built-up</t>
  </si>
  <si>
    <t>Electrical Conduit &amp; Materials</t>
  </si>
  <si>
    <t>Conduit, Wire, DB &amp; Switchboards</t>
  </si>
  <si>
    <t>8</t>
  </si>
  <si>
    <t>Plumbing &amp; Drainage Materials</t>
  </si>
  <si>
    <t>CPVC/UPVC pipes, sanitary fixtures</t>
  </si>
  <si>
    <t>9</t>
  </si>
  <si>
    <t>Internal Wall Painting Materials</t>
  </si>
  <si>
    <t>Putty (2) + Primer (1) + Paint (2)</t>
  </si>
  <si>
    <t>10</t>
  </si>
  <si>
    <t>Flooring Tiles &amp; Base Mortar</t>
  </si>
  <si>
    <t>1.25x tiles + Rs 40/sqft base bedding</t>
  </si>
  <si>
    <t>11</t>
  </si>
  <si>
    <t>Joinery, Doors &amp; Windows</t>
  </si>
  <si>
    <t>Flush doors &amp; UPVC window sets</t>
  </si>
  <si>
    <t>TOTAL TIER 1 MATERIAL COMPONENT COST (₹):</t>
  </si>
  <si>
    <t>👷 TIER 1 - DEEP TRADE MANPOWER &amp; LABOR RECONCILIATION SCHEDULE</t>
  </si>
  <si>
    <t>Project Built-up Area:</t>
  </si>
  <si>
    <t>Trade No.</t>
  </si>
  <si>
    <t>Activity / Trade Name</t>
  </si>
  <si>
    <t>Governing Scope</t>
  </si>
  <si>
    <t>Scope Unit</t>
  </si>
  <si>
    <t>Crew Output Standard</t>
  </si>
  <si>
    <t>Daily Crew Wage (₹)</t>
  </si>
  <si>
    <t>Required Mandays</t>
  </si>
  <si>
    <t>Trade Rate / Unit (₹)</t>
  </si>
  <si>
    <t>Total Labor Cost (₹)</t>
  </si>
  <si>
    <t>Concrete Placing &amp; Curing (RMC/Batch)</t>
  </si>
  <si>
    <t>m³</t>
  </si>
  <si>
    <t>0.24 Skilled + 2.90 Unskilled / m³</t>
  </si>
  <si>
    <t>Brick Masonry (230mm Wall)</t>
  </si>
  <si>
    <t>Plastering (15mm Internal/External)</t>
  </si>
  <si>
    <t>m²</t>
  </si>
  <si>
    <t>Shuttering &amp; Formwork Erection</t>
  </si>
  <si>
    <t>Steel Reinforcement Binding</t>
  </si>
  <si>
    <t>MT</t>
  </si>
  <si>
    <t>Flooring &amp; Vitrified Tiling</t>
  </si>
  <si>
    <t>Internal Painting (2 coats + putty)</t>
  </si>
  <si>
    <t>Electrical Chasing &amp; Wiring Labor</t>
  </si>
  <si>
    <t>Thumb Rule (0.23 days/100 sqft)</t>
  </si>
  <si>
    <t>Plumbing &amp; Sanitary Fitting Labor</t>
  </si>
  <si>
    <t>Thumb Rule (0.21 days/100 sqft)</t>
  </si>
  <si>
    <t>Machine Earthwork Excavation (JCB)</t>
  </si>
  <si>
    <t>TOTAL EXPLICIT TRADE MANPOWER &amp; LABOR (₹):</t>
  </si>
  <si>
    <t>⚖️ FLAT BENCHMARK LABOR RECONCILIATION AUDIT (1 - 2% TOLERANCE)</t>
  </si>
  <si>
    <t>Flat Benchmark Labor Cost (@ ₹377.40 / sq ft):</t>
  </si>
  <si>
    <t>Explicit Itemized Trade Labor Cost:</t>
  </si>
  <si>
    <t>Labor Variance Amount (₹):</t>
  </si>
  <si>
    <t>Labor Variance Percentage (%):</t>
  </si>
  <si>
    <t>Reconciliation Audit Status:</t>
  </si>
  <si>
    <t>📦 TIER 2 - MESO TRADE-PACKAGE COST MODEL</t>
  </si>
  <si>
    <t>Package No.</t>
  </si>
  <si>
    <t>Package Rate (₹/sqft)</t>
  </si>
  <si>
    <t>Total Package Cost (₹)</t>
  </si>
  <si>
    <t>Civil Work Structure (RCC, Masonry, Shuttering)</t>
  </si>
  <si>
    <t>Finishing Works (Plaster, Flooring, Paint, POP)</t>
  </si>
  <si>
    <t>DIRECT TRADE PACKAGES SUBTOTAL (₹):</t>
  </si>
  <si>
    <t>Contractor Overhead &amp; Profit (COP 10%):</t>
  </si>
  <si>
    <t>TOTAL TIER 2 TRADE-PACKAGE ESTIMATE (₹):</t>
  </si>
  <si>
    <t>⚙️ CIVIL ENGINEERING ESTIMATOR - UNIT RATES &amp; COEFFICIENTS CONFIGURATION</t>
  </si>
  <si>
    <t>1. Construction Quality Tiers (₹ / sq ft)</t>
  </si>
  <si>
    <t>Tier</t>
  </si>
  <si>
    <t>Rate (₹/sqft)</t>
  </si>
  <si>
    <t>Key / Code</t>
  </si>
  <si>
    <t>Description</t>
  </si>
  <si>
    <t>Basic (C-Class)</t>
  </si>
  <si>
    <t>Tier_Basic</t>
  </si>
  <si>
    <t>Standard low-cost residential structure</t>
  </si>
  <si>
    <t>Standard (B-Class)</t>
  </si>
  <si>
    <t>Tier_Standard</t>
  </si>
  <si>
    <t>Quality Indian urban residential construction (Default)</t>
  </si>
  <si>
    <t>Premium (A-Class)</t>
  </si>
  <si>
    <t>Tier_Premium</t>
  </si>
  <si>
    <t>High-end luxury finishes and branded fixtures</t>
  </si>
  <si>
    <t>2. Trade Package Unit Rates (₹ / sq ft)</t>
  </si>
  <si>
    <t>Trade Package</t>
  </si>
  <si>
    <t>Scope of Work</t>
  </si>
  <si>
    <t>Civil Structure</t>
  </si>
  <si>
    <t>Pkg_Civil</t>
  </si>
  <si>
    <t>Footings, Columns, Beams, Slabs, Masonry, Shuttering</t>
  </si>
  <si>
    <t>Finishing Work</t>
  </si>
  <si>
    <t>Pkg_Finish</t>
  </si>
  <si>
    <t>Internal/External Plaster, Flooring, Painting, POP</t>
  </si>
  <si>
    <t>Electrical Works</t>
  </si>
  <si>
    <t>Pkg_Elec</t>
  </si>
  <si>
    <t>Conduits, Wiring, DBs, Switches, Lighting Points</t>
  </si>
  <si>
    <t>Plumbing &amp; Drainage</t>
  </si>
  <si>
    <t>Pkg_Plumb</t>
  </si>
  <si>
    <t>Piping, Sanware, Water Tanks, Soil/Waste lines</t>
  </si>
  <si>
    <t>Fire Fighting</t>
  </si>
  <si>
    <t>Pkg_Fire</t>
  </si>
  <si>
    <t>Risers, Hydrants, Extinguishers, Detectors</t>
  </si>
  <si>
    <t>External Development</t>
  </si>
  <si>
    <t>Pkg_ExtDev</t>
  </si>
  <si>
    <t>Boundary wall, Paving, Landscaping, Drainage</t>
  </si>
  <si>
    <t>Contractor Overhead &amp; Profit (%)</t>
  </si>
  <si>
    <t>Pkg_COP</t>
  </si>
  <si>
    <t>Standard 10% COP on direct trade subtotal</t>
  </si>
  <si>
    <t>3. Material Market Unit Rates</t>
  </si>
  <si>
    <t>Material Name</t>
  </si>
  <si>
    <t>Billing Unit</t>
  </si>
  <si>
    <t>Reference Standards</t>
  </si>
  <si>
    <t>per kg</t>
  </si>
  <si>
    <t>IS 1786 High Yield Strength Deformed Bars</t>
  </si>
  <si>
    <t>Cement (OPC/PPC 50kg Bag)</t>
  </si>
  <si>
    <t>per bag</t>
  </si>
  <si>
    <t>IS 269 / IS 1489 Standard Cement</t>
  </si>
  <si>
    <t>per cu ft</t>
  </si>
  <si>
    <t>Zone II Sand for RCC &amp; Plastering</t>
  </si>
  <si>
    <t>Graded Crushed Blue Granite Stone</t>
  </si>
  <si>
    <t>Common Clay Bricks</t>
  </si>
  <si>
    <t>per brick</t>
  </si>
  <si>
    <t>Standard 9" x 4.25" x 2.75" Class I Bricks</t>
  </si>
  <si>
    <t>Flooring Tiles (Vitrified)</t>
  </si>
  <si>
    <t>per sq ft</t>
  </si>
  <si>
    <t>600x600 mm Double Charged Vitrified Tiles</t>
  </si>
  <si>
    <t>Formwork / Shuttering</t>
  </si>
  <si>
    <t>Marine Ply &amp; MS Prop Shuttering hire rate</t>
  </si>
  <si>
    <t>Flooring Mortar / Adhesive</t>
  </si>
  <si>
    <t>Base bedding and polymer grout</t>
  </si>
  <si>
    <t>Joinery &amp; Doors/Windows</t>
  </si>
  <si>
    <t>Flush doors, UPVC/Aluminium windows</t>
  </si>
  <si>
    <t>Internal Wall Painting (Material)</t>
  </si>
  <si>
    <t>Putty (2 coats) + Primer (1) + Acrylic Emulsion (2)</t>
  </si>
  <si>
    <t>4. Daily Labor Wage Rates (₹ / 8-hr Shift)</t>
  </si>
  <si>
    <t>Artisan Trade / Skill</t>
  </si>
  <si>
    <t>Daily Wage (₹)</t>
  </si>
  <si>
    <t>Role Code</t>
  </si>
  <si>
    <t>Skill Level</t>
  </si>
  <si>
    <t>Head Mason (Mistri)</t>
  </si>
  <si>
    <t>Wage_Mason</t>
  </si>
  <si>
    <t>Skilled (RCC, Brickwork, Plaster, Tiling)</t>
  </si>
  <si>
    <t>Bar Bender / Steel Fitter</t>
  </si>
  <si>
    <t>Wage_Bar</t>
  </si>
  <si>
    <t>Skilled (Cutting, Bending, Tying Fe500)</t>
  </si>
  <si>
    <t>Carpenter / Formwork Fitter</t>
  </si>
  <si>
    <t>Wage_Carp</t>
  </si>
  <si>
    <t>Skilled (Ply erection, Shuttering props)</t>
  </si>
  <si>
    <t>Painter</t>
  </si>
  <si>
    <t>Wage_Paint</t>
  </si>
  <si>
    <t>Skilled (Surface prep, Putty, Emulsion application)</t>
  </si>
  <si>
    <t>Electrician</t>
  </si>
  <si>
    <t>Wage_Elec</t>
  </si>
  <si>
    <t>Skilled (Conduit chasing, Wire pulling, DB)</t>
  </si>
  <si>
    <t>Plumber</t>
  </si>
  <si>
    <t>Wage_Plumb</t>
  </si>
  <si>
    <t>Skilled (Piping, Core cutting, Sanitaryware)</t>
  </si>
  <si>
    <t>Helper / Beldar / Mazdoor</t>
  </si>
  <si>
    <t>Wage_Helper</t>
  </si>
  <si>
    <t>Unskilled (Material handling, Mortar mixing)</t>
  </si>
  <si>
    <t>JCB 3DX Excavator &amp; Operator</t>
  </si>
  <si>
    <t>Wage_JCB_Hr</t>
  </si>
  <si>
    <t>Plant &amp; Machinery Hourly Rental (₹/hr)</t>
  </si>
  <si>
    <t>5. Daily Manpower Productivity Standards</t>
  </si>
  <si>
    <t>Activity / Trade</t>
  </si>
  <si>
    <t>Output per Day</t>
  </si>
  <si>
    <t>Output Unit</t>
  </si>
  <si>
    <t>Crew Composition</t>
  </si>
  <si>
    <t>Concrete Pouring (Skilled)</t>
  </si>
  <si>
    <t>mandays / m³</t>
  </si>
  <si>
    <t>Masons per m³ ready/batch mix concrete</t>
  </si>
  <si>
    <t>Concrete Pouring (Unskilled)</t>
  </si>
  <si>
    <t>Helpers per m³ placing, vibrator, curing</t>
  </si>
  <si>
    <t>Brick Masonry (230mm)</t>
  </si>
  <si>
    <t>m³ / day</t>
  </si>
  <si>
    <t>1 Mason + 2 Helpers per crew</t>
  </si>
  <si>
    <t>Plastering (15mm Wall)</t>
  </si>
  <si>
    <t>m² / day</t>
  </si>
  <si>
    <t>Shuttering / Formwork</t>
  </si>
  <si>
    <t>1 Carpenter + 2 Helpers per crew</t>
  </si>
  <si>
    <t>MT / day</t>
  </si>
  <si>
    <t>2 Bar Benders + 2 Helpers per crew</t>
  </si>
  <si>
    <t>Flooring (Vitrified Tiles)</t>
  </si>
  <si>
    <t>Internal Wall Painting (2 coats)</t>
  </si>
  <si>
    <t>1 Painter + 1 Helper per crew</t>
  </si>
  <si>
    <t>Electrical Trade Rate</t>
  </si>
  <si>
    <t>₹ / sq ft</t>
  </si>
  <si>
    <t>Chasing, wiring &amp; testing labor rate</t>
  </si>
  <si>
    <t>Plumbing Trade Rate</t>
  </si>
  <si>
    <t>Piping &amp; sanitary fitting labor rate</t>
  </si>
  <si>
    <t>JCB Machine Excavation Output</t>
  </si>
  <si>
    <t>m³ / hr</t>
  </si>
  <si>
    <t>Trench/Basement earthwork output</t>
  </si>
  <si>
    <t>Reconciliation Variance Limit</t>
  </si>
  <si>
    <t>% tolerance</t>
  </si>
  <si>
    <t>Max allowable labor variance (2.0%)</t>
  </si>
  <si>
    <t>Max 3-Tier Variance Limit</t>
  </si>
  <si>
    <t>Max allowable 3-tier variance (5.0%)</t>
  </si>
  <si>
    <t>6. Tier 1 Structural, Material &amp; Conversion Coefficients</t>
  </si>
  <si>
    <t>Coefficient / Assumption</t>
  </si>
  <si>
    <t>Value</t>
  </si>
  <si>
    <t>Sq Ft → Sq M Conversion Factor</t>
  </si>
  <si>
    <t>UnitConv_SqFtToSqM</t>
  </si>
  <si>
    <t>Standard area conversion (1 sq ft = 0.09290304 m²); used throughout Tier 1 schedules</t>
  </si>
  <si>
    <t>Concrete Volume per Sq Ft (Structural)</t>
  </si>
  <si>
    <t>ConcreteVolPerSqFtCum</t>
  </si>
  <si>
    <t>Structural concrete volume (m³) generated per sq ft of built-up area</t>
  </si>
  <si>
    <t>Footing Concrete Share of Total</t>
  </si>
  <si>
    <t>FootingConcreteRatio</t>
  </si>
  <si>
    <t>Footings' share of total structural concrete volume</t>
  </si>
  <si>
    <t>Column Concrete Share of Total</t>
  </si>
  <si>
    <t>ColumnConcreteRatio</t>
  </si>
  <si>
    <t>Columns' share of total structural concrete volume</t>
  </si>
  <si>
    <t>Beam Concrete Share of Total</t>
  </si>
  <si>
    <t>BeamConcreteRatio</t>
  </si>
  <si>
    <t>Beams' share of total structural concrete volume</t>
  </si>
  <si>
    <t>Slab Concrete Share of Total</t>
  </si>
  <si>
    <t>SlabConcreteRatio</t>
  </si>
  <si>
    <t>Slabs' share of total structural concrete volume</t>
  </si>
  <si>
    <t>Steel % of Concrete Vol – Footing</t>
  </si>
  <si>
    <t>SteelPercent_Footing</t>
  </si>
  <si>
    <t>Reinforcement steel as % of footing concrete volume (0.8%)</t>
  </si>
  <si>
    <t>Steel % of Concrete Vol – Column</t>
  </si>
  <si>
    <t>SteelPercent_Column</t>
  </si>
  <si>
    <t>Reinforcement steel as % of column concrete volume (2.5%)</t>
  </si>
  <si>
    <t>Steel % of Concrete Vol – Beam</t>
  </si>
  <si>
    <t>SteelPercent_Beam</t>
  </si>
  <si>
    <t>Reinforcement steel as % of beam concrete volume (2.0%)</t>
  </si>
  <si>
    <t>Steel % of Concrete Vol – Slab</t>
  </si>
  <si>
    <t>SteelPercent_Slab</t>
  </si>
  <si>
    <t>Reinforcement steel as % of slab concrete volume (1.0%)</t>
  </si>
  <si>
    <t>Steel Density</t>
  </si>
  <si>
    <t>SteelDensityKgM3</t>
  </si>
  <si>
    <t>Density of TMT reinforcement steel (kg/m³)</t>
  </si>
  <si>
    <t>Shuttering Area per Sq Ft Plinth</t>
  </si>
  <si>
    <t>ShutteringAreaPerPlinthRatio</t>
  </si>
  <si>
    <t>Shuttering/formwork contact area per unit plinth area</t>
  </si>
  <si>
    <t>Cement Bags per m³ RCC Concrete</t>
  </si>
  <si>
    <t>CementBagsPerCum_RCC</t>
  </si>
  <si>
    <t>50kg cement bags consumed per m³ of RCC concrete</t>
  </si>
  <si>
    <t>Cement Bags per m³ Brick Masonry</t>
  </si>
  <si>
    <t>CementBagsPerCum_Brickwork</t>
  </si>
  <si>
    <t>50kg cement bags consumed per m³ of brick masonry mortar</t>
  </si>
  <si>
    <t>Cement Bags per m² Plastering</t>
  </si>
  <si>
    <t>CementBagsPerSqM_Plaster</t>
  </si>
  <si>
    <t>50kg cement bags consumed per m² of plastering (15mm)</t>
  </si>
  <si>
    <t>Cement Bags per m² Flooring</t>
  </si>
  <si>
    <t>CementBagsPerSqM_Flooring</t>
  </si>
  <si>
    <t>50kg cement bags consumed per m² of flooring base/bedding</t>
  </si>
  <si>
    <t>Bricks per Sq Ft Built-up</t>
  </si>
  <si>
    <t>BricksPerSqFt</t>
  </si>
  <si>
    <t>Common clay bricks consumed per sq ft of built-up area</t>
  </si>
  <si>
    <t>Bricks per m³ Masonry</t>
  </si>
  <si>
    <t>AHK constant (bricksCount/500)</t>
  </si>
  <si>
    <t>Number of standard bricks per m³ of finished brick masonry</t>
  </si>
  <si>
    <t>Sand per Sq Ft Built-up</t>
  </si>
  <si>
    <t>SandCftPerSqFt</t>
  </si>
  <si>
    <t>River/coarse sand (cu ft) consumed per sq ft of built-up area</t>
  </si>
  <si>
    <t>Coarse Aggregate per Sq Ft Built-up</t>
  </si>
  <si>
    <t>AggregateCftPerSqFt</t>
  </si>
  <si>
    <t>20mm coarse aggregate (cu ft) consumed per sq ft of built-up area</t>
  </si>
  <si>
    <t>Internal Wall Area Multiplier</t>
  </si>
  <si>
    <t>InternalWallPaintingAreaMultiplier</t>
  </si>
  <si>
    <t>Internal wall surface area (plaster/paint) as a multiple of plinth area</t>
  </si>
  <si>
    <t>Flooring Tile Area Multiplier</t>
  </si>
  <si>
    <t>FlooringTileAreaMultiplier</t>
  </si>
  <si>
    <t>Tile procurement area as a multiple of plinth area (covers wastage/cutting)</t>
  </si>
  <si>
    <t>Flooring Base Bedding Cost per Sq Ft</t>
  </si>
  <si>
    <t>AHK constant (costFlooring +40/sqft)</t>
  </si>
  <si>
    <t>Fixed base-bedding/mortar cost added per sq ft of flooring, on top of the tile rate</t>
  </si>
  <si>
    <t>7. Tier 1 Manpower Crew Composition &amp; Productivity Assumptions</t>
  </si>
  <si>
    <t>Assumption</t>
  </si>
  <si>
    <t>Brick Masonry Crew Size</t>
  </si>
  <si>
    <t>CrewSize_Brick</t>
  </si>
  <si>
    <t>Total workers per brick masonry crew (1 Mason + 2 Helpers) – mandays multiplier</t>
  </si>
  <si>
    <t>Plastering Crew Size</t>
  </si>
  <si>
    <t>CrewSize_Plaster</t>
  </si>
  <si>
    <t>Total workers per plastering crew (1 Mason + 2 Helpers) – mandays multiplier</t>
  </si>
  <si>
    <t>Shuttering Crew Size</t>
  </si>
  <si>
    <t>CrewSize_Shutter</t>
  </si>
  <si>
    <t>Total workers per shuttering/formwork crew (1 Carpenter + 2 Helpers) – mandays multiplier</t>
  </si>
  <si>
    <t>Steel Reinforcement Crew Size</t>
  </si>
  <si>
    <t>CrewSize_Rebar</t>
  </si>
  <si>
    <t>Total workers per rebar-binding crew (2 Bar Benders + 2 Helpers) – mandays multiplier</t>
  </si>
  <si>
    <t>Flooring Crew Size</t>
  </si>
  <si>
    <t>CrewSize_Floor</t>
  </si>
  <si>
    <t>Total workers per flooring/tiling crew (1 Mason + 2 Helpers) – mandays multiplier</t>
  </si>
  <si>
    <t>Painting Crew Size</t>
  </si>
  <si>
    <t>CrewSize_Paint</t>
  </si>
  <si>
    <t>Total workers per painting crew (1 Painter + 1 Helper) – mandays multiplier</t>
  </si>
  <si>
    <t>Electrical Labor Thumb Rule</t>
  </si>
  <si>
    <t>AHK constant (per 100 sqft)</t>
  </si>
  <si>
    <t>Electrician mandays required per 100 sq ft of built-up area</t>
  </si>
  <si>
    <t>Plumbing Labor Thumb Rule</t>
  </si>
  <si>
    <t>Plumber mandays required per 100 sq ft of built-up area</t>
  </si>
  <si>
    <t>Electrical/Plumbing Helper Crew Multiplier</t>
  </si>
  <si>
    <t>Spreadsheet-only (not in AHK mandays calc)</t>
  </si>
  <si>
    <t>Assumes 1 helper accompanies each electrician/plumber; AHK's own manday count uses the tradesperson alone (x1), so this sheet's total mandays run higher than the AHK script's for these two trades</t>
  </si>
  <si>
    <t>Excavation Volume per Sq M</t>
  </si>
  <si>
    <t>AHK constant (areaSqM*0.75)</t>
  </si>
  <si>
    <t>Machine excavation volume (m³) generated per m² of built-up area</t>
  </si>
  <si>
    <t>Flat Benchmark Labor Rate</t>
  </si>
  <si>
    <t>AHK constant (costFlatLabor)</t>
  </si>
  <si>
    <t>Flat per-sq-ft labor cost benchmark used for the 2% manpower reconciliation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</si>
</sst>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₹ &quot;#,##0.00"/>
    <numFmt numFmtId="165" formatCode="0.0%"/>
    <numFmt numFmtId="166" formatCode="#,##0.0"/>
    <numFmt numFmtId="167" formatCode="0.000"/>
  </numFmts>
  <fonts count="6" x14ac:knownFonts="1">
    <font>
      <sz val="11"/>
      <color theme="1"/>
      <name val="Calibri"/>
      <family val="2"/>
      <charset val="1"/>
    </font>
    <font>
      <b/>
      <sz val="15"/>
      <color rgb="FFFFFFFF"/>
      <name val="Segoe UI"/>
      <charset val="1"/>
    </font>
    <font>
      <b/>
      <sz val="11"/>
      <color rgb="FFFFFFFF"/>
      <name val="Segoe UI"/>
      <charset val="1"/>
    </font>
    <font>
      <b/>
      <sz val="10"/>
      <name val="Segoe UI"/>
      <charset val="1"/>
    </font>
    <font>
      <b/>
      <sz val="10"/>
      <color rgb="FFFFFFFF"/>
      <name val="Segoe UI"/>
      <charset val="1"/>
    </font>
    <font>
      <sz val="1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2C3E50"/>
      </patternFill>
    </fill>
    <fill>
      <patternFill patternType="solid">
        <fgColor rgb="FF2C3E50"/>
        <bgColor rgb="FF34495E"/>
      </patternFill>
    </fill>
    <fill>
      <patternFill patternType="solid">
        <fgColor rgb="FFE8F4F8"/>
        <bgColor rgb="FFEAEDED"/>
      </patternFill>
    </fill>
    <fill>
      <patternFill patternType="solid">
        <fgColor rgb="FFFCF3CF"/>
        <bgColor rgb="FFEAEDED"/>
      </patternFill>
    </fill>
    <fill>
      <patternFill patternType="solid">
        <fgColor rgb="FF34495E"/>
        <bgColor rgb="FF2C3E50"/>
      </patternFill>
    </fill>
    <fill>
      <patternFill patternType="solid">
        <fgColor rgb="FFEAEDED"/>
        <bgColor rgb="FFE8F4F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double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/>
    <xf numFmtId="0" fontId="4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10" fontId="3" fillId="4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4" fontId="3" fillId="7" borderId="3" xfId="0" applyNumberFormat="1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0" xfId="0" applyFont="1" applyAlignment="1"/>
    <xf numFmtId="3" fontId="3" fillId="4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left" vertical="center"/>
    </xf>
    <xf numFmtId="167" fontId="5" fillId="0" borderId="2" xfId="0" applyNumberFormat="1" applyFont="1" applyBorder="1" applyAlignment="1">
      <alignment horizontal="left" vertical="center"/>
    </xf>
    <xf numFmtId="0" fontId="0" fillId="7" borderId="3" xfId="0" applyFill="1" applyBorder="1" applyAlignment="1"/>
    <xf numFmtId="164" fontId="3" fillId="7" borderId="2" xfId="0" applyNumberFormat="1" applyFont="1" applyFill="1" applyBorder="1" applyAlignment="1">
      <alignment horizontal="right" vertical="center"/>
    </xf>
    <xf numFmtId="165" fontId="3" fillId="7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167" fontId="5" fillId="0" borderId="2" xfId="0" applyNumberFormat="1" applyFont="1" applyBorder="1" applyAlignment="1">
      <alignment horizontal="right" vertical="center"/>
    </xf>
    <xf numFmtId="166" fontId="5" fillId="8" borderId="2" xfId="0" applyNumberFormat="1" applyFont="1" applyFill="1" applyBorder="1" applyAlignment="1">
      <alignment horizontal="right" vertical="center"/>
    </xf>
    <xf numFmtId="4" fontId="5" fillId="8" borderId="2" xfId="0" applyNumberFormat="1" applyFont="1" applyFill="1" applyBorder="1" applyAlignment="1">
      <alignment horizontal="right" vertical="center"/>
    </xf>
    <xf numFmtId="0" fontId="3" fillId="7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CF3CF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Normal="100" workbookViewId="0"/>
  </sheetViews>
  <sheetFormatPr defaultColWidth="8.6640625" defaultRowHeight="14.4" x14ac:dyDescent="0.3"/>
  <cols>
    <col min="1" max="1" width="16" style="1" customWidth="1"/>
    <col min="2" max="2" width="44" style="1" customWidth="1"/>
    <col min="3" max="3" width="22" style="1" customWidth="1"/>
    <col min="4" max="4" width="20" style="1" customWidth="1"/>
    <col min="5" max="5" width="22" style="1" customWidth="1"/>
    <col min="6" max="7" width="24" style="1" customWidth="1"/>
  </cols>
  <sheetData>
    <row r="1" spans="1:7" ht="31.5" customHeight="1" x14ac:dyDescent="0.3">
      <c r="A1" s="40" t="s">
        <v>0</v>
      </c>
      <c r="B1" s="40"/>
      <c r="C1" s="40"/>
      <c r="D1" s="40"/>
      <c r="E1" s="40"/>
      <c r="F1" s="40"/>
      <c r="G1" s="40"/>
    </row>
    <row r="3" spans="1:7" ht="21.75" customHeight="1" x14ac:dyDescent="0.3">
      <c r="A3" s="34" t="s">
        <v>1</v>
      </c>
      <c r="B3" s="34"/>
      <c r="C3" s="34"/>
      <c r="D3" s="34"/>
      <c r="E3" s="34"/>
      <c r="F3" s="34"/>
      <c r="G3" s="34"/>
    </row>
    <row r="4" spans="1:7" ht="15" customHeight="1" x14ac:dyDescent="0.3">
      <c r="A4" s="36" t="s">
        <v>2</v>
      </c>
      <c r="B4" s="36"/>
      <c r="C4" s="36"/>
      <c r="D4" s="41" t="s">
        <v>3</v>
      </c>
      <c r="E4" s="41"/>
      <c r="F4" s="41"/>
      <c r="G4" s="41"/>
    </row>
    <row r="5" spans="1:7" ht="15" customHeight="1" x14ac:dyDescent="0.3">
      <c r="A5" s="36" t="s">
        <v>4</v>
      </c>
      <c r="B5" s="36"/>
      <c r="C5" s="36"/>
      <c r="D5" s="42" t="s">
        <v>5</v>
      </c>
      <c r="E5" s="42"/>
      <c r="F5" s="42"/>
      <c r="G5" s="42"/>
    </row>
    <row r="6" spans="1:7" ht="15" customHeight="1" x14ac:dyDescent="0.3">
      <c r="A6" s="36" t="s">
        <v>6</v>
      </c>
      <c r="B6" s="36"/>
      <c r="C6" s="36"/>
      <c r="D6" s="37">
        <v>1500</v>
      </c>
      <c r="E6" s="37"/>
      <c r="F6" s="37"/>
      <c r="G6" s="37"/>
    </row>
    <row r="7" spans="1:7" ht="15" customHeight="1" x14ac:dyDescent="0.3">
      <c r="A7" s="36" t="s">
        <v>7</v>
      </c>
      <c r="B7" s="36"/>
      <c r="C7" s="36"/>
      <c r="D7" s="38">
        <f>D6*0.09290304</f>
        <v>139.35456000000002</v>
      </c>
      <c r="E7" s="38"/>
      <c r="F7" s="38"/>
      <c r="G7" s="38"/>
    </row>
    <row r="8" spans="1:7" ht="15" customHeight="1" x14ac:dyDescent="0.3">
      <c r="A8" s="36" t="s">
        <v>8</v>
      </c>
      <c r="B8" s="36"/>
      <c r="C8" s="36"/>
      <c r="D8" s="39">
        <f>IF(D5="Basic", 'Settings &amp; Rates'!B5, IF(D5="Premium", 'Settings &amp; Rates'!B7, 'Settings &amp; Rates'!B6))</f>
        <v>1800</v>
      </c>
      <c r="E8" s="39"/>
      <c r="F8" s="39"/>
      <c r="G8" s="39"/>
    </row>
    <row r="10" spans="1:7" ht="21.75" customHeight="1" x14ac:dyDescent="0.3">
      <c r="A10" s="34" t="s">
        <v>9</v>
      </c>
      <c r="B10" s="34"/>
      <c r="C10" s="34"/>
      <c r="D10" s="34"/>
      <c r="E10" s="34"/>
      <c r="F10" s="34"/>
      <c r="G10" s="34"/>
    </row>
    <row r="11" spans="1:7" ht="19.5" customHeight="1" x14ac:dyDescent="0.3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</row>
    <row r="12" spans="1:7" ht="19.5" customHeight="1" x14ac:dyDescent="0.3">
      <c r="A12" s="3" t="s">
        <v>17</v>
      </c>
      <c r="B12" s="4" t="s">
        <v>18</v>
      </c>
      <c r="C12" s="5">
        <f>'Material Schedule (Tier 1)'!H17 + 'Manpower &amp; Labor (Tier 1)'!I16</f>
        <v>2853659.6982768327</v>
      </c>
      <c r="D12" s="5">
        <f>C12/$D$6</f>
        <v>1902.4397988512219</v>
      </c>
      <c r="E12" s="5">
        <f>$C$15</f>
        <v>2737957.3994256109</v>
      </c>
      <c r="F12" s="6">
        <f>ABS(C12-E12)/E12</f>
        <v>4.2258619098856212E-2</v>
      </c>
      <c r="G12" s="7" t="str">
        <f>IF(F12&lt;='Settings &amp; Rates'!B57, "✔️ CONVERGED", "⚠️ DIVERGENT")</f>
        <v>✔️ CONVERGED</v>
      </c>
    </row>
    <row r="13" spans="1:7" ht="19.5" customHeight="1" x14ac:dyDescent="0.3">
      <c r="A13" s="3" t="s">
        <v>19</v>
      </c>
      <c r="B13" s="4" t="s">
        <v>20</v>
      </c>
      <c r="C13" s="5">
        <f>'Trade Packages (Tier 2)'!F14</f>
        <v>2660212.5</v>
      </c>
      <c r="D13" s="5">
        <f>C13/$D$6</f>
        <v>1773.4749999999999</v>
      </c>
      <c r="E13" s="5">
        <f>$C$15</f>
        <v>2737957.3994256109</v>
      </c>
      <c r="F13" s="6">
        <f>ABS(C13-E13)/E13</f>
        <v>2.8395218801403121E-2</v>
      </c>
      <c r="G13" s="7" t="str">
        <f>IF(F13&lt;='Settings &amp; Rates'!B57, "✔️ CONVERGED", "⚠️ DIVERGENT")</f>
        <v>✔️ CONVERGED</v>
      </c>
    </row>
    <row r="14" spans="1:7" ht="19.5" customHeight="1" x14ac:dyDescent="0.3">
      <c r="A14" s="3" t="s">
        <v>21</v>
      </c>
      <c r="B14" s="4" t="s">
        <v>22</v>
      </c>
      <c r="C14" s="5">
        <f>D6*D8</f>
        <v>2700000</v>
      </c>
      <c r="D14" s="5">
        <f>C14/$D$6</f>
        <v>1800</v>
      </c>
      <c r="E14" s="5">
        <f>$C$15</f>
        <v>2737957.3994256109</v>
      </c>
      <c r="F14" s="6">
        <f>ABS(C14-E14)/E14</f>
        <v>1.386340029745309E-2</v>
      </c>
      <c r="G14" s="7" t="str">
        <f>IF(F14&lt;='Settings &amp; Rates'!B57, "✔️ CONVERGED", "⚠️ DIVERGENT")</f>
        <v>✔️ CONVERGED</v>
      </c>
    </row>
    <row r="15" spans="1:7" ht="24" customHeight="1" x14ac:dyDescent="0.3">
      <c r="A15" s="35" t="s">
        <v>23</v>
      </c>
      <c r="B15" s="35"/>
      <c r="C15" s="8">
        <f>AVERAGE(C12:C14)</f>
        <v>2737957.3994256109</v>
      </c>
      <c r="D15" s="9">
        <f>C15/D6</f>
        <v>1825.3049329504072</v>
      </c>
      <c r="E15" s="9" t="s">
        <v>24</v>
      </c>
      <c r="F15" s="10">
        <f>MAX(F12:F14)</f>
        <v>4.2258619098856212E-2</v>
      </c>
      <c r="G15" s="11" t="str">
        <f>IF(F15&lt;='Settings &amp; Rates'!B57, "✔️ VERIFIED", "⚠️ AUDIT REQUIRED")</f>
        <v>✔️ VERIFIED</v>
      </c>
    </row>
    <row r="17" spans="1:7" ht="21.75" customHeight="1" x14ac:dyDescent="0.3">
      <c r="A17" s="34" t="s">
        <v>25</v>
      </c>
      <c r="B17" s="34"/>
      <c r="C17" s="34"/>
      <c r="D17" s="34"/>
      <c r="E17" s="34"/>
      <c r="F17" s="34"/>
      <c r="G17" s="34"/>
    </row>
    <row r="18" spans="1:7" ht="19.5" customHeight="1" x14ac:dyDescent="0.3">
      <c r="A18" s="2" t="s">
        <v>26</v>
      </c>
      <c r="B18" s="2" t="s">
        <v>27</v>
      </c>
      <c r="C18" s="2" t="s">
        <v>28</v>
      </c>
      <c r="D18" s="2" t="s">
        <v>13</v>
      </c>
      <c r="E18" s="2" t="s">
        <v>29</v>
      </c>
      <c r="F18" s="2" t="s">
        <v>30</v>
      </c>
      <c r="G18" s="2" t="s">
        <v>31</v>
      </c>
    </row>
    <row r="19" spans="1:7" ht="19.5" customHeight="1" x14ac:dyDescent="0.3">
      <c r="A19" s="12" t="s">
        <v>32</v>
      </c>
      <c r="B19" s="4" t="s">
        <v>33</v>
      </c>
      <c r="C19" s="5">
        <f>'Material Schedule (Tier 1)'!H17</f>
        <v>2233709.5375000001</v>
      </c>
      <c r="D19" s="5">
        <f>C19/$D$6</f>
        <v>1489.1396916666667</v>
      </c>
      <c r="E19" s="13">
        <f>C19/$C$21</f>
        <v>0.78275259620087634</v>
      </c>
      <c r="F19" s="4" t="s">
        <v>34</v>
      </c>
      <c r="G19" s="7" t="s">
        <v>35</v>
      </c>
    </row>
    <row r="20" spans="1:7" ht="19.5" customHeight="1" x14ac:dyDescent="0.3">
      <c r="A20" s="12" t="s">
        <v>36</v>
      </c>
      <c r="B20" s="4" t="s">
        <v>37</v>
      </c>
      <c r="C20" s="5">
        <f>'Manpower &amp; Labor (Tier 1)'!I16</f>
        <v>619950.16077683237</v>
      </c>
      <c r="D20" s="5">
        <f>C20/$D$6</f>
        <v>413.30010718455492</v>
      </c>
      <c r="E20" s="13">
        <f>C20/$C$21</f>
        <v>0.21724740379912363</v>
      </c>
      <c r="F20" s="4" t="str">
        <f>'Manpower &amp; Labor (Tier 1)'!G16 &amp; " mandays"</f>
        <v>753.567205262079 mandays</v>
      </c>
      <c r="G20" s="7" t="str">
        <f>'Manpower &amp; Labor (Tier 1)'!G23</f>
        <v>⚠️ AUDIT REQUIRED</v>
      </c>
    </row>
    <row r="21" spans="1:7" ht="21.75" customHeight="1" x14ac:dyDescent="0.3">
      <c r="A21" s="33" t="s">
        <v>38</v>
      </c>
      <c r="B21" s="33"/>
      <c r="C21" s="14">
        <f>SUM(C19:C20)</f>
        <v>2853659.6982768327</v>
      </c>
      <c r="D21" s="14">
        <f>C21/D6</f>
        <v>1902.4397988512219</v>
      </c>
      <c r="E21" s="15" t="s">
        <v>39</v>
      </c>
      <c r="F21" s="15" t="s">
        <v>40</v>
      </c>
      <c r="G21" s="16" t="str">
        <f>TEXT(E19*100, "0") &amp; " : " &amp; TEXT(E20*100, "0")</f>
        <v>78 : 22</v>
      </c>
    </row>
    <row r="23" spans="1:7" ht="21.75" customHeight="1" x14ac:dyDescent="0.3">
      <c r="A23" s="34" t="s">
        <v>41</v>
      </c>
      <c r="B23" s="34"/>
      <c r="C23" s="34"/>
      <c r="D23" s="34"/>
      <c r="E23" s="34"/>
      <c r="F23" s="34"/>
      <c r="G23" s="34"/>
    </row>
    <row r="24" spans="1:7" ht="19.5" customHeight="1" x14ac:dyDescent="0.3">
      <c r="A24" s="2" t="s">
        <v>42</v>
      </c>
      <c r="B24" s="2" t="s">
        <v>43</v>
      </c>
      <c r="C24" s="2" t="s">
        <v>44</v>
      </c>
      <c r="D24" s="2" t="s">
        <v>13</v>
      </c>
      <c r="E24" s="2" t="s">
        <v>45</v>
      </c>
      <c r="F24" s="2" t="s">
        <v>46</v>
      </c>
      <c r="G24" s="2" t="s">
        <v>47</v>
      </c>
    </row>
    <row r="25" spans="1:7" ht="19.5" customHeight="1" x14ac:dyDescent="0.3">
      <c r="A25" s="3" t="s">
        <v>48</v>
      </c>
      <c r="B25" s="4" t="s">
        <v>49</v>
      </c>
      <c r="C25" s="5">
        <f>'Trade Packages (Tier 2)'!F6</f>
        <v>1126875</v>
      </c>
      <c r="D25" s="5">
        <f t="shared" ref="D25:D31" si="0">C25/$D$6</f>
        <v>751.25</v>
      </c>
      <c r="E25" s="13">
        <f t="shared" ref="E25:E31" si="1">C25/$C$32</f>
        <v>0.42360337754972582</v>
      </c>
      <c r="F25" s="7" t="s">
        <v>50</v>
      </c>
      <c r="G25" s="7" t="s">
        <v>51</v>
      </c>
    </row>
    <row r="26" spans="1:7" ht="19.5" customHeight="1" x14ac:dyDescent="0.3">
      <c r="A26" s="3" t="s">
        <v>52</v>
      </c>
      <c r="B26" s="4" t="s">
        <v>53</v>
      </c>
      <c r="C26" s="5">
        <f>'Trade Packages (Tier 2)'!F7</f>
        <v>701250</v>
      </c>
      <c r="D26" s="5">
        <f t="shared" si="0"/>
        <v>467.5</v>
      </c>
      <c r="E26" s="13">
        <f t="shared" si="1"/>
        <v>0.26360676073809891</v>
      </c>
      <c r="F26" s="7" t="s">
        <v>54</v>
      </c>
      <c r="G26" s="7" t="s">
        <v>51</v>
      </c>
    </row>
    <row r="27" spans="1:7" ht="19.5" customHeight="1" x14ac:dyDescent="0.3">
      <c r="A27" s="3" t="s">
        <v>55</v>
      </c>
      <c r="B27" s="4" t="s">
        <v>56</v>
      </c>
      <c r="C27" s="5">
        <f>'Trade Packages (Tier 2)'!F8</f>
        <v>199500</v>
      </c>
      <c r="D27" s="5">
        <f t="shared" si="0"/>
        <v>133</v>
      </c>
      <c r="E27" s="13">
        <f t="shared" si="1"/>
        <v>7.4994008937255954E-2</v>
      </c>
      <c r="F27" s="7" t="s">
        <v>57</v>
      </c>
      <c r="G27" s="7" t="s">
        <v>51</v>
      </c>
    </row>
    <row r="28" spans="1:7" ht="19.5" customHeight="1" x14ac:dyDescent="0.3">
      <c r="A28" s="3" t="s">
        <v>58</v>
      </c>
      <c r="B28" s="4" t="s">
        <v>59</v>
      </c>
      <c r="C28" s="5">
        <f>'Trade Packages (Tier 2)'!F9</f>
        <v>189000</v>
      </c>
      <c r="D28" s="5">
        <f t="shared" si="0"/>
        <v>126</v>
      </c>
      <c r="E28" s="13">
        <f t="shared" si="1"/>
        <v>7.1046955835295106E-2</v>
      </c>
      <c r="F28" s="7" t="s">
        <v>60</v>
      </c>
      <c r="G28" s="7" t="s">
        <v>51</v>
      </c>
    </row>
    <row r="29" spans="1:7" ht="19.5" customHeight="1" x14ac:dyDescent="0.3">
      <c r="A29" s="3" t="s">
        <v>61</v>
      </c>
      <c r="B29" s="4" t="s">
        <v>62</v>
      </c>
      <c r="C29" s="5">
        <f>'Trade Packages (Tier 2)'!F10</f>
        <v>60000</v>
      </c>
      <c r="D29" s="5">
        <f t="shared" si="0"/>
        <v>40</v>
      </c>
      <c r="E29" s="13">
        <f t="shared" si="1"/>
        <v>2.255458915406194E-2</v>
      </c>
      <c r="F29" s="7" t="s">
        <v>63</v>
      </c>
      <c r="G29" s="7" t="s">
        <v>51</v>
      </c>
    </row>
    <row r="30" spans="1:7" ht="19.5" customHeight="1" x14ac:dyDescent="0.3">
      <c r="A30" s="3" t="s">
        <v>64</v>
      </c>
      <c r="B30" s="4" t="s">
        <v>65</v>
      </c>
      <c r="C30" s="5">
        <f>'Trade Packages (Tier 2)'!F11</f>
        <v>141750</v>
      </c>
      <c r="D30" s="5">
        <f t="shared" si="0"/>
        <v>94.5</v>
      </c>
      <c r="E30" s="13">
        <f t="shared" si="1"/>
        <v>5.3285216876471336E-2</v>
      </c>
      <c r="F30" s="7" t="s">
        <v>66</v>
      </c>
      <c r="G30" s="7" t="s">
        <v>51</v>
      </c>
    </row>
    <row r="31" spans="1:7" ht="19.5" customHeight="1" x14ac:dyDescent="0.3">
      <c r="A31" s="3" t="s">
        <v>67</v>
      </c>
      <c r="B31" s="4" t="s">
        <v>68</v>
      </c>
      <c r="C31" s="5">
        <f>'Trade Packages (Tier 2)'!F13</f>
        <v>241837.5</v>
      </c>
      <c r="D31" s="5">
        <f t="shared" si="0"/>
        <v>161.22499999999999</v>
      </c>
      <c r="E31" s="13">
        <f t="shared" si="1"/>
        <v>9.0909090909090912E-2</v>
      </c>
      <c r="F31" s="7" t="s">
        <v>69</v>
      </c>
      <c r="G31" s="7" t="s">
        <v>70</v>
      </c>
    </row>
    <row r="32" spans="1:7" ht="21.75" customHeight="1" x14ac:dyDescent="0.3">
      <c r="A32" s="33" t="s">
        <v>71</v>
      </c>
      <c r="B32" s="33"/>
      <c r="C32" s="14">
        <f>SUM(C25:C31)</f>
        <v>2660212.5</v>
      </c>
      <c r="D32" s="14">
        <f>C32/D6</f>
        <v>1773.4749999999999</v>
      </c>
      <c r="E32" s="15" t="s">
        <v>39</v>
      </c>
      <c r="F32" s="15" t="s">
        <v>72</v>
      </c>
      <c r="G32" s="16" t="s">
        <v>73</v>
      </c>
    </row>
  </sheetData>
  <mergeCells count="18">
    <mergeCell ref="A1:G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32:B32"/>
    <mergeCell ref="A10:G10"/>
    <mergeCell ref="A15:B15"/>
    <mergeCell ref="A17:G17"/>
    <mergeCell ref="A21:B21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Normal="100" workbookViewId="0"/>
  </sheetViews>
  <sheetFormatPr defaultColWidth="8.6640625" defaultRowHeight="14.4" x14ac:dyDescent="0.3"/>
  <cols>
    <col min="1" max="1" width="12" style="1" customWidth="1"/>
    <col min="2" max="2" width="38" style="1" customWidth="1"/>
    <col min="3" max="3" width="45" style="1" customWidth="1"/>
    <col min="4" max="4" width="14" style="1" customWidth="1"/>
    <col min="5" max="5" width="22" style="1" customWidth="1"/>
    <col min="6" max="6" width="14" style="1" customWidth="1"/>
    <col min="7" max="7" width="18" style="1" customWidth="1"/>
    <col min="8" max="8" width="22" style="1" customWidth="1"/>
  </cols>
  <sheetData>
    <row r="1" spans="1:8" ht="30" customHeight="1" x14ac:dyDescent="0.3">
      <c r="A1" s="40" t="s">
        <v>74</v>
      </c>
      <c r="B1" s="40"/>
      <c r="C1" s="40"/>
      <c r="D1" s="40"/>
      <c r="E1" s="40"/>
      <c r="F1" s="40"/>
      <c r="G1" s="40"/>
      <c r="H1" s="40"/>
    </row>
    <row r="3" spans="1:8" ht="15" customHeight="1" x14ac:dyDescent="0.35">
      <c r="A3" s="17" t="s">
        <v>75</v>
      </c>
      <c r="B3" s="18">
        <f>'Project Summary &amp; BOQ'!D6</f>
        <v>1500</v>
      </c>
      <c r="C3" s="17" t="s">
        <v>76</v>
      </c>
      <c r="D3" s="19">
        <f>B3*'Settings &amp; Rates'!$B$61</f>
        <v>139.35456000000002</v>
      </c>
    </row>
    <row r="5" spans="1:8" ht="24" customHeight="1" x14ac:dyDescent="0.3">
      <c r="A5" s="2" t="s">
        <v>77</v>
      </c>
      <c r="B5" s="2" t="s">
        <v>78</v>
      </c>
      <c r="C5" s="2" t="s">
        <v>79</v>
      </c>
      <c r="D5" s="2" t="s">
        <v>80</v>
      </c>
      <c r="E5" s="2" t="s">
        <v>81</v>
      </c>
      <c r="F5" s="2" t="s">
        <v>82</v>
      </c>
      <c r="G5" s="2" t="s">
        <v>83</v>
      </c>
      <c r="H5" s="2" t="s">
        <v>28</v>
      </c>
    </row>
    <row r="6" spans="1:8" ht="19.5" customHeight="1" x14ac:dyDescent="0.3">
      <c r="A6" s="7" t="s">
        <v>48</v>
      </c>
      <c r="B6" s="4" t="s">
        <v>84</v>
      </c>
      <c r="C6" s="4" t="s">
        <v>85</v>
      </c>
      <c r="D6" s="7" t="s">
        <v>86</v>
      </c>
      <c r="E6" s="20">
        <f>('Project Summary &amp; BOQ'!D6*'Settings &amp; Rates'!$B$62)*('Settings &amp; Rates'!$B$63*'Settings &amp; Rates'!$B$67 + 'Settings &amp; Rates'!$B$64*'Settings &amp; Rates'!$B$68 + 'Settings &amp; Rates'!$B$65*'Settings &amp; Rates'!$B$69 + 'Settings &amp; Rates'!$B$66*'Settings &amp; Rates'!$B$70)*'Settings &amp; Rates'!$B$71</f>
        <v>6689.3774999999996</v>
      </c>
      <c r="F6" s="7" t="s">
        <v>87</v>
      </c>
      <c r="G6" s="21">
        <f>'Settings &amp; Rates'!B21</f>
        <v>65</v>
      </c>
      <c r="H6" s="21">
        <f t="shared" ref="H6:H16" si="0">E6*G6</f>
        <v>434809.53749999998</v>
      </c>
    </row>
    <row r="7" spans="1:8" ht="19.5" customHeight="1" x14ac:dyDescent="0.3">
      <c r="A7" s="7" t="s">
        <v>52</v>
      </c>
      <c r="B7" s="4" t="s">
        <v>88</v>
      </c>
      <c r="C7" s="4" t="s">
        <v>89</v>
      </c>
      <c r="D7" s="7" t="s">
        <v>86</v>
      </c>
      <c r="E7" s="20">
        <f>ROUND(('Project Summary &amp; BOQ'!D6*'Settings &amp; Rates'!$B$62*'Settings &amp; Rates'!$B$73) + (('Project Summary &amp; BOQ'!D6*'Settings &amp; Rates'!$B$77/'Settings &amp; Rates'!$B$78)*'Settings &amp; Rates'!$B$74) + (('Project Summary &amp; BOQ'!D6*'Settings &amp; Rates'!$B$81*'Settings &amp; Rates'!$B$61)*'Settings &amp; Rates'!$B$75) + (('Project Summary &amp; BOQ'!D6*'Settings &amp; Rates'!$B$61)*'Settings &amp; Rates'!$B$76), 0)</f>
        <v>605</v>
      </c>
      <c r="F7" s="7" t="s">
        <v>90</v>
      </c>
      <c r="G7" s="21">
        <f>'Settings &amp; Rates'!B22</f>
        <v>380</v>
      </c>
      <c r="H7" s="21">
        <f t="shared" si="0"/>
        <v>229900</v>
      </c>
    </row>
    <row r="8" spans="1:8" ht="19.5" customHeight="1" x14ac:dyDescent="0.3">
      <c r="A8" s="7" t="s">
        <v>55</v>
      </c>
      <c r="B8" s="4" t="s">
        <v>91</v>
      </c>
      <c r="C8" s="4" t="s">
        <v>92</v>
      </c>
      <c r="D8" s="7" t="s">
        <v>86</v>
      </c>
      <c r="E8" s="20">
        <f>('Project Summary &amp; BOQ'!D6*'Settings &amp; Rates'!$B$72)</f>
        <v>3600</v>
      </c>
      <c r="F8" s="7" t="s">
        <v>93</v>
      </c>
      <c r="G8" s="21">
        <f>'Settings &amp; Rates'!B27</f>
        <v>60</v>
      </c>
      <c r="H8" s="21">
        <f t="shared" si="0"/>
        <v>216000</v>
      </c>
    </row>
    <row r="9" spans="1:8" ht="19.5" customHeight="1" x14ac:dyDescent="0.3">
      <c r="A9" s="7" t="s">
        <v>58</v>
      </c>
      <c r="B9" s="4" t="s">
        <v>94</v>
      </c>
      <c r="C9" s="4" t="s">
        <v>95</v>
      </c>
      <c r="D9" s="7" t="s">
        <v>86</v>
      </c>
      <c r="E9" s="20">
        <f>ROUND('Project Summary &amp; BOQ'!D6*'Settings &amp; Rates'!$B$77, 0)</f>
        <v>27000</v>
      </c>
      <c r="F9" s="7" t="s">
        <v>96</v>
      </c>
      <c r="G9" s="21">
        <f>'Settings &amp; Rates'!B25</f>
        <v>9</v>
      </c>
      <c r="H9" s="21">
        <f t="shared" si="0"/>
        <v>243000</v>
      </c>
    </row>
    <row r="10" spans="1:8" ht="19.5" customHeight="1" x14ac:dyDescent="0.3">
      <c r="A10" s="7" t="s">
        <v>61</v>
      </c>
      <c r="B10" s="4" t="s">
        <v>97</v>
      </c>
      <c r="C10" s="4" t="s">
        <v>98</v>
      </c>
      <c r="D10" s="7" t="s">
        <v>86</v>
      </c>
      <c r="E10" s="20">
        <f>ROUND('Project Summary &amp; BOQ'!D6*'Settings &amp; Rates'!$B$79, 0)</f>
        <v>2700</v>
      </c>
      <c r="F10" s="7" t="s">
        <v>99</v>
      </c>
      <c r="G10" s="21">
        <f>'Settings &amp; Rates'!B23</f>
        <v>55</v>
      </c>
      <c r="H10" s="21">
        <f t="shared" si="0"/>
        <v>148500</v>
      </c>
    </row>
    <row r="11" spans="1:8" ht="19.5" customHeight="1" x14ac:dyDescent="0.3">
      <c r="A11" s="7" t="s">
        <v>64</v>
      </c>
      <c r="B11" s="4" t="s">
        <v>100</v>
      </c>
      <c r="C11" s="4" t="s">
        <v>101</v>
      </c>
      <c r="D11" s="7" t="s">
        <v>86</v>
      </c>
      <c r="E11" s="20">
        <f>ROUND('Project Summary &amp; BOQ'!D6*'Settings &amp; Rates'!$B$80, 0)</f>
        <v>2025</v>
      </c>
      <c r="F11" s="7" t="s">
        <v>99</v>
      </c>
      <c r="G11" s="21">
        <f>'Settings &amp; Rates'!B24</f>
        <v>45</v>
      </c>
      <c r="H11" s="21">
        <f t="shared" si="0"/>
        <v>91125</v>
      </c>
    </row>
    <row r="12" spans="1:8" ht="19.5" customHeight="1" x14ac:dyDescent="0.3">
      <c r="A12" s="7" t="s">
        <v>67</v>
      </c>
      <c r="B12" s="4" t="s">
        <v>102</v>
      </c>
      <c r="C12" s="4" t="s">
        <v>103</v>
      </c>
      <c r="D12" s="7" t="s">
        <v>86</v>
      </c>
      <c r="E12" s="20">
        <f>'Project Summary &amp; BOQ'!D6</f>
        <v>1500</v>
      </c>
      <c r="F12" s="7" t="s">
        <v>93</v>
      </c>
      <c r="G12" s="21">
        <f>'Settings &amp; Rates'!B13</f>
        <v>133</v>
      </c>
      <c r="H12" s="21">
        <f t="shared" si="0"/>
        <v>199500</v>
      </c>
    </row>
    <row r="13" spans="1:8" ht="19.5" customHeight="1" x14ac:dyDescent="0.3">
      <c r="A13" s="7" t="s">
        <v>104</v>
      </c>
      <c r="B13" s="4" t="s">
        <v>105</v>
      </c>
      <c r="C13" s="4" t="s">
        <v>106</v>
      </c>
      <c r="D13" s="7" t="s">
        <v>86</v>
      </c>
      <c r="E13" s="20">
        <f>'Project Summary &amp; BOQ'!D6</f>
        <v>1500</v>
      </c>
      <c r="F13" s="7" t="s">
        <v>93</v>
      </c>
      <c r="G13" s="21">
        <f>'Settings &amp; Rates'!B14</f>
        <v>126</v>
      </c>
      <c r="H13" s="21">
        <f t="shared" si="0"/>
        <v>189000</v>
      </c>
    </row>
    <row r="14" spans="1:8" ht="19.5" customHeight="1" x14ac:dyDescent="0.3">
      <c r="A14" s="7" t="s">
        <v>107</v>
      </c>
      <c r="B14" s="4" t="s">
        <v>108</v>
      </c>
      <c r="C14" s="4" t="s">
        <v>109</v>
      </c>
      <c r="D14" s="7" t="s">
        <v>86</v>
      </c>
      <c r="E14" s="20">
        <f>'Project Summary &amp; BOQ'!D6</f>
        <v>1500</v>
      </c>
      <c r="F14" s="7" t="s">
        <v>93</v>
      </c>
      <c r="G14" s="21">
        <f>'Settings &amp; Rates'!B30</f>
        <v>70</v>
      </c>
      <c r="H14" s="21">
        <f t="shared" si="0"/>
        <v>105000</v>
      </c>
    </row>
    <row r="15" spans="1:8" ht="19.5" customHeight="1" x14ac:dyDescent="0.3">
      <c r="A15" s="7" t="s">
        <v>110</v>
      </c>
      <c r="B15" s="4" t="s">
        <v>111</v>
      </c>
      <c r="C15" s="4" t="s">
        <v>112</v>
      </c>
      <c r="D15" s="7" t="s">
        <v>86</v>
      </c>
      <c r="E15" s="20">
        <f>'Project Summary &amp; BOQ'!D6</f>
        <v>1500</v>
      </c>
      <c r="F15" s="7" t="s">
        <v>93</v>
      </c>
      <c r="G15" s="21">
        <f>('Settings &amp; Rates'!$B$82*'Settings &amp; Rates'!B26)+'Settings &amp; Rates'!$B$83</f>
        <v>121.25</v>
      </c>
      <c r="H15" s="21">
        <f t="shared" si="0"/>
        <v>181875</v>
      </c>
    </row>
    <row r="16" spans="1:8" ht="19.5" customHeight="1" x14ac:dyDescent="0.3">
      <c r="A16" s="7" t="s">
        <v>113</v>
      </c>
      <c r="B16" s="4" t="s">
        <v>114</v>
      </c>
      <c r="C16" s="4" t="s">
        <v>115</v>
      </c>
      <c r="D16" s="7" t="s">
        <v>86</v>
      </c>
      <c r="E16" s="20">
        <f>'Project Summary &amp; BOQ'!D6</f>
        <v>1500</v>
      </c>
      <c r="F16" s="7" t="s">
        <v>93</v>
      </c>
      <c r="G16" s="21">
        <f>'Settings &amp; Rates'!B29</f>
        <v>130</v>
      </c>
      <c r="H16" s="21">
        <f t="shared" si="0"/>
        <v>195000</v>
      </c>
    </row>
    <row r="17" spans="1:8" ht="21.75" customHeight="1" x14ac:dyDescent="0.3">
      <c r="A17" s="33" t="s">
        <v>116</v>
      </c>
      <c r="B17" s="33"/>
      <c r="C17" s="33"/>
      <c r="D17" s="33"/>
      <c r="E17" s="33"/>
      <c r="F17" s="33"/>
      <c r="G17" s="33"/>
      <c r="H17" s="14">
        <f>SUM(H6:H16)</f>
        <v>2233709.5375000001</v>
      </c>
    </row>
  </sheetData>
  <mergeCells count="2">
    <mergeCell ref="A1:H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4" zoomScaleNormal="100" workbookViewId="0">
      <selection activeCell="C12" sqref="C12"/>
    </sheetView>
  </sheetViews>
  <sheetFormatPr defaultColWidth="8.6640625" defaultRowHeight="14.4" x14ac:dyDescent="0.3"/>
  <cols>
    <col min="1" max="1" width="12" style="1" customWidth="1"/>
    <col min="2" max="2" width="38" style="1" customWidth="1"/>
    <col min="3" max="3" width="20" style="1" customWidth="1"/>
    <col min="4" max="4" width="14" style="1" customWidth="1"/>
    <col min="5" max="5" width="36" style="1" customWidth="1"/>
    <col min="6" max="6" width="22" style="1" customWidth="1"/>
    <col min="7" max="7" width="20" style="1" customWidth="1"/>
    <col min="8" max="8" width="22" style="1" customWidth="1"/>
    <col min="9" max="9" width="24" style="1" customWidth="1"/>
  </cols>
  <sheetData>
    <row r="1" spans="1:9" ht="30" customHeight="1" x14ac:dyDescent="0.3">
      <c r="A1" s="40" t="s">
        <v>117</v>
      </c>
      <c r="B1" s="40"/>
      <c r="C1" s="40"/>
      <c r="D1" s="40"/>
      <c r="E1" s="40"/>
      <c r="F1" s="40"/>
      <c r="G1" s="40"/>
      <c r="H1" s="40"/>
      <c r="I1" s="40"/>
    </row>
    <row r="3" spans="1:9" ht="15" customHeight="1" x14ac:dyDescent="0.35">
      <c r="A3" s="17" t="s">
        <v>118</v>
      </c>
      <c r="B3" s="18">
        <f>'Project Summary &amp; BOQ'!D6</f>
        <v>1500</v>
      </c>
      <c r="C3" s="1" t="s">
        <v>93</v>
      </c>
    </row>
    <row r="5" spans="1:9" ht="24" customHeight="1" x14ac:dyDescent="0.3">
      <c r="A5" s="2" t="s">
        <v>119</v>
      </c>
      <c r="B5" s="2" t="s">
        <v>120</v>
      </c>
      <c r="C5" s="2" t="s">
        <v>121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 t="s">
        <v>127</v>
      </c>
    </row>
    <row r="6" spans="1:9" ht="19.5" customHeight="1" x14ac:dyDescent="0.3">
      <c r="A6" s="7" t="s">
        <v>48</v>
      </c>
      <c r="B6" s="4" t="s">
        <v>128</v>
      </c>
      <c r="C6" s="21">
        <f>'Project Summary &amp; BOQ'!D6*'Settings &amp; Rates'!$B$62</f>
        <v>57</v>
      </c>
      <c r="D6" s="7" t="s">
        <v>129</v>
      </c>
      <c r="E6" s="4" t="s">
        <v>130</v>
      </c>
      <c r="F6" s="21">
        <f>('Settings &amp; Rates'!B45*'Settings &amp; Rates'!B34)+('Settings &amp; Rates'!B46*'Settings &amp; Rates'!B40)</f>
        <v>1968</v>
      </c>
      <c r="G6" s="20">
        <f>C6*('Settings &amp; Rates'!B45+'Settings &amp; Rates'!B46)</f>
        <v>178.98</v>
      </c>
      <c r="H6" s="21">
        <f>F6</f>
        <v>1968</v>
      </c>
      <c r="I6" s="21">
        <f t="shared" ref="I6:I15" si="0">C6*H6</f>
        <v>112176</v>
      </c>
    </row>
    <row r="7" spans="1:9" ht="19.5" customHeight="1" x14ac:dyDescent="0.3">
      <c r="A7" s="7" t="s">
        <v>52</v>
      </c>
      <c r="B7" s="4" t="s">
        <v>131</v>
      </c>
      <c r="C7" s="21">
        <f>ROUND('Project Summary &amp; BOQ'!D6*'Settings &amp; Rates'!$B$77,0)/'Settings &amp; Rates'!$B$78</f>
        <v>54</v>
      </c>
      <c r="D7" s="7" t="s">
        <v>129</v>
      </c>
      <c r="E7" s="22">
        <f>'Settings &amp; Rates'!B47</f>
        <v>1.35</v>
      </c>
      <c r="F7" s="21">
        <f>'Settings &amp; Rates'!B34+(2*'Settings &amp; Rates'!B40)</f>
        <v>2150</v>
      </c>
      <c r="G7" s="20">
        <f>(C7/E7)*'Settings &amp; Rates'!$B$87</f>
        <v>120</v>
      </c>
      <c r="H7" s="21">
        <f t="shared" ref="H7:H12" si="1">F7/E7</f>
        <v>1592.5925925925924</v>
      </c>
      <c r="I7" s="21">
        <f t="shared" si="0"/>
        <v>85999.999999999985</v>
      </c>
    </row>
    <row r="8" spans="1:9" ht="19.5" customHeight="1" x14ac:dyDescent="0.3">
      <c r="A8" s="7" t="s">
        <v>55</v>
      </c>
      <c r="B8" s="4" t="s">
        <v>132</v>
      </c>
      <c r="C8" s="21">
        <f>('Project Summary &amp; BOQ'!D6*'Settings &amp; Rates'!$B$81)*'Settings &amp; Rates'!$B$61</f>
        <v>418.06368000000003</v>
      </c>
      <c r="D8" s="7" t="s">
        <v>133</v>
      </c>
      <c r="E8" s="22">
        <f>'Settings &amp; Rates'!B48</f>
        <v>14.5</v>
      </c>
      <c r="F8" s="21">
        <f>'Settings &amp; Rates'!B34+(2*'Settings &amp; Rates'!B40)</f>
        <v>2150</v>
      </c>
      <c r="G8" s="20">
        <f>(C8/E8)*'Settings &amp; Rates'!$B$88</f>
        <v>86.495933793103447</v>
      </c>
      <c r="H8" s="21">
        <f t="shared" si="1"/>
        <v>148.27586206896552</v>
      </c>
      <c r="I8" s="21">
        <f t="shared" si="0"/>
        <v>61988.752551724145</v>
      </c>
    </row>
    <row r="9" spans="1:9" ht="19.5" customHeight="1" x14ac:dyDescent="0.3">
      <c r="A9" s="7" t="s">
        <v>58</v>
      </c>
      <c r="B9" s="4" t="s">
        <v>134</v>
      </c>
      <c r="C9" s="21">
        <f>('Project Summary &amp; BOQ'!D6*'Settings &amp; Rates'!$B$61)*'Settings &amp; Rates'!$B$72</f>
        <v>334.45094400000005</v>
      </c>
      <c r="D9" s="7" t="s">
        <v>133</v>
      </c>
      <c r="E9" s="22">
        <f>'Settings &amp; Rates'!B49</f>
        <v>11</v>
      </c>
      <c r="F9" s="21">
        <f>'Settings &amp; Rates'!B36+(2*'Settings &amp; Rates'!B40)</f>
        <v>2100</v>
      </c>
      <c r="G9" s="20">
        <f>(C9/E9)*'Settings &amp; Rates'!$B$89</f>
        <v>91.21389381818183</v>
      </c>
      <c r="H9" s="21">
        <f t="shared" si="1"/>
        <v>190.90909090909091</v>
      </c>
      <c r="I9" s="21">
        <f t="shared" si="0"/>
        <v>63849.725672727283</v>
      </c>
    </row>
    <row r="10" spans="1:9" ht="19.5" customHeight="1" x14ac:dyDescent="0.3">
      <c r="A10" s="7" t="s">
        <v>61</v>
      </c>
      <c r="B10" s="4" t="s">
        <v>135</v>
      </c>
      <c r="C10" s="21">
        <f>ROUND(('Material Schedule (Tier 1)'!E6/1000),2)</f>
        <v>6.69</v>
      </c>
      <c r="D10" s="7" t="s">
        <v>136</v>
      </c>
      <c r="E10" s="23">
        <f>'Settings &amp; Rates'!B50</f>
        <v>0.13500000000000001</v>
      </c>
      <c r="F10" s="21">
        <f>(2*'Settings &amp; Rates'!B35)+(2*'Settings &amp; Rates'!B40)</f>
        <v>3000</v>
      </c>
      <c r="G10" s="20">
        <f>(C10/E10)*'Settings &amp; Rates'!$B$90</f>
        <v>198.22222222222223</v>
      </c>
      <c r="H10" s="21">
        <f t="shared" si="1"/>
        <v>22222.222222222219</v>
      </c>
      <c r="I10" s="21">
        <f t="shared" si="0"/>
        <v>148666.66666666666</v>
      </c>
    </row>
    <row r="11" spans="1:9" ht="19.5" customHeight="1" x14ac:dyDescent="0.3">
      <c r="A11" s="7" t="s">
        <v>64</v>
      </c>
      <c r="B11" s="4" t="s">
        <v>137</v>
      </c>
      <c r="C11" s="21">
        <f>ROUND('Project Summary &amp; BOQ'!D6*'Settings &amp; Rates'!$B$82,0)*'Settings &amp; Rates'!$B$61</f>
        <v>174.19320000000002</v>
      </c>
      <c r="D11" s="7" t="s">
        <v>133</v>
      </c>
      <c r="E11" s="22">
        <f>'Settings &amp; Rates'!B51</f>
        <v>13.5</v>
      </c>
      <c r="F11" s="21">
        <f>'Settings &amp; Rates'!B34+(2*'Settings &amp; Rates'!B40)</f>
        <v>2150</v>
      </c>
      <c r="G11" s="20">
        <f>(C11/E11)*'Settings &amp; Rates'!$B$91</f>
        <v>38.709600000000009</v>
      </c>
      <c r="H11" s="21">
        <f t="shared" si="1"/>
        <v>159.25925925925927</v>
      </c>
      <c r="I11" s="21">
        <f t="shared" si="0"/>
        <v>27741.880000000005</v>
      </c>
    </row>
    <row r="12" spans="1:9" ht="19.5" customHeight="1" x14ac:dyDescent="0.3">
      <c r="A12" s="7" t="s">
        <v>67</v>
      </c>
      <c r="B12" s="4" t="s">
        <v>138</v>
      </c>
      <c r="C12" s="21">
        <f>('Project Summary &amp; BOQ'!D6*'Settings &amp; Rates'!$B$81)*'Settings &amp; Rates'!$B$61</f>
        <v>418.06368000000003</v>
      </c>
      <c r="D12" s="7" t="s">
        <v>133</v>
      </c>
      <c r="E12" s="22">
        <f>'Settings &amp; Rates'!B52</f>
        <v>28</v>
      </c>
      <c r="F12" s="21">
        <f>'Settings &amp; Rates'!B37+'Settings &amp; Rates'!B40</f>
        <v>1450</v>
      </c>
      <c r="G12" s="20">
        <f>(C12/E12)*'Settings &amp; Rates'!$B$92</f>
        <v>29.861691428571429</v>
      </c>
      <c r="H12" s="21">
        <f t="shared" si="1"/>
        <v>51.785714285714285</v>
      </c>
      <c r="I12" s="21">
        <f t="shared" si="0"/>
        <v>21649.726285714289</v>
      </c>
    </row>
    <row r="13" spans="1:9" ht="19.5" customHeight="1" x14ac:dyDescent="0.3">
      <c r="A13" s="7" t="s">
        <v>104</v>
      </c>
      <c r="B13" s="4" t="s">
        <v>139</v>
      </c>
      <c r="C13" s="21">
        <f>'Project Summary &amp; BOQ'!D6</f>
        <v>1500</v>
      </c>
      <c r="D13" s="7" t="s">
        <v>93</v>
      </c>
      <c r="E13" s="4" t="s">
        <v>140</v>
      </c>
      <c r="F13" s="21">
        <f>'Settings &amp; Rates'!B38+'Settings &amp; Rates'!B40</f>
        <v>1500</v>
      </c>
      <c r="G13" s="31">
        <f>(C13/100)*'Settings &amp; Rates'!$B$93*'Settings &amp; Rates'!$B$95</f>
        <v>3.45</v>
      </c>
      <c r="H13" s="32">
        <f>'Settings &amp; Rates'!B53</f>
        <v>32.5</v>
      </c>
      <c r="I13" s="21">
        <f t="shared" si="0"/>
        <v>48750</v>
      </c>
    </row>
    <row r="14" spans="1:9" ht="19.5" customHeight="1" x14ac:dyDescent="0.3">
      <c r="A14" s="7" t="s">
        <v>107</v>
      </c>
      <c r="B14" s="4" t="s">
        <v>141</v>
      </c>
      <c r="C14" s="21">
        <f>'Project Summary &amp; BOQ'!D6</f>
        <v>1500</v>
      </c>
      <c r="D14" s="7" t="s">
        <v>93</v>
      </c>
      <c r="E14" s="4" t="s">
        <v>142</v>
      </c>
      <c r="F14" s="21">
        <f>'Settings &amp; Rates'!B39+'Settings &amp; Rates'!B40</f>
        <v>1500</v>
      </c>
      <c r="G14" s="31">
        <f>(C14/100)*'Settings &amp; Rates'!$B$94*'Settings &amp; Rates'!$B$95</f>
        <v>3.15</v>
      </c>
      <c r="H14" s="32">
        <f>'Settings &amp; Rates'!B54</f>
        <v>29.5</v>
      </c>
      <c r="I14" s="21">
        <f t="shared" si="0"/>
        <v>44250</v>
      </c>
    </row>
    <row r="15" spans="1:9" ht="19.5" customHeight="1" x14ac:dyDescent="0.3">
      <c r="A15" s="7" t="s">
        <v>110</v>
      </c>
      <c r="B15" s="4" t="s">
        <v>143</v>
      </c>
      <c r="C15" s="21">
        <f>('Project Summary &amp; BOQ'!D6*'Settings &amp; Rates'!$B$61)*'Settings &amp; Rates'!$B$96</f>
        <v>104.51592000000002</v>
      </c>
      <c r="D15" s="7" t="s">
        <v>129</v>
      </c>
      <c r="E15" s="22">
        <f>'Settings &amp; Rates'!B55</f>
        <v>30</v>
      </c>
      <c r="F15" s="21">
        <f>'Settings &amp; Rates'!B41</f>
        <v>1400</v>
      </c>
      <c r="G15" s="20">
        <f>C15/E15</f>
        <v>3.483864000000001</v>
      </c>
      <c r="H15" s="21">
        <f>F15/E15</f>
        <v>46.666666666666664</v>
      </c>
      <c r="I15" s="21">
        <f t="shared" si="0"/>
        <v>4877.4096000000009</v>
      </c>
    </row>
    <row r="16" spans="1:9" ht="21.75" customHeight="1" x14ac:dyDescent="0.3">
      <c r="A16" s="33" t="s">
        <v>144</v>
      </c>
      <c r="B16" s="33"/>
      <c r="C16" s="33"/>
      <c r="D16" s="33"/>
      <c r="E16" s="33"/>
      <c r="F16" s="33"/>
      <c r="G16" s="15">
        <f>SUM(G6:G15)</f>
        <v>753.56720526207914</v>
      </c>
      <c r="H16" s="24"/>
      <c r="I16" s="14">
        <f>SUM(I6:I15)</f>
        <v>619950.16077683237</v>
      </c>
    </row>
    <row r="18" spans="1:9" ht="21.75" customHeight="1" x14ac:dyDescent="0.3">
      <c r="A18" s="34" t="s">
        <v>145</v>
      </c>
      <c r="B18" s="34"/>
      <c r="C18" s="34"/>
      <c r="D18" s="34"/>
      <c r="E18" s="34"/>
      <c r="F18" s="34"/>
      <c r="G18" s="34"/>
      <c r="H18" s="34"/>
      <c r="I18" s="34"/>
    </row>
    <row r="19" spans="1:9" ht="15" customHeight="1" x14ac:dyDescent="0.3">
      <c r="A19" s="36" t="s">
        <v>146</v>
      </c>
      <c r="B19" s="36"/>
      <c r="C19" s="36"/>
      <c r="D19" s="36"/>
      <c r="E19" s="36"/>
      <c r="F19" s="36"/>
      <c r="G19" s="39">
        <f>'Project Summary &amp; BOQ'!D6*'Settings &amp; Rates'!$B$97</f>
        <v>566100</v>
      </c>
      <c r="H19" s="39"/>
      <c r="I19" s="39"/>
    </row>
    <row r="20" spans="1:9" ht="15" customHeight="1" x14ac:dyDescent="0.3">
      <c r="A20" s="36" t="s">
        <v>147</v>
      </c>
      <c r="B20" s="36"/>
      <c r="C20" s="36"/>
      <c r="D20" s="36"/>
      <c r="E20" s="36"/>
      <c r="F20" s="36"/>
      <c r="G20" s="39">
        <f>I16</f>
        <v>619950.16077683237</v>
      </c>
      <c r="H20" s="39"/>
      <c r="I20" s="39"/>
    </row>
    <row r="21" spans="1:9" ht="15" customHeight="1" x14ac:dyDescent="0.3">
      <c r="A21" s="36" t="s">
        <v>148</v>
      </c>
      <c r="B21" s="36"/>
      <c r="C21" s="36"/>
      <c r="D21" s="36"/>
      <c r="E21" s="36"/>
      <c r="F21" s="36"/>
      <c r="G21" s="39">
        <f>ABS(G20-G19)</f>
        <v>53850.160776832374</v>
      </c>
      <c r="H21" s="39"/>
      <c r="I21" s="39"/>
    </row>
    <row r="22" spans="1:9" ht="15" customHeight="1" x14ac:dyDescent="0.3">
      <c r="A22" s="36" t="s">
        <v>149</v>
      </c>
      <c r="B22" s="36"/>
      <c r="C22" s="36"/>
      <c r="D22" s="36"/>
      <c r="E22" s="36"/>
      <c r="F22" s="36"/>
      <c r="G22" s="44">
        <f>G21/G19</f>
        <v>9.5124820308836552E-2</v>
      </c>
      <c r="H22" s="44"/>
      <c r="I22" s="44"/>
    </row>
    <row r="23" spans="1:9" ht="15" customHeight="1" x14ac:dyDescent="0.3">
      <c r="A23" s="36" t="s">
        <v>150</v>
      </c>
      <c r="B23" s="36"/>
      <c r="C23" s="36"/>
      <c r="D23" s="36"/>
      <c r="E23" s="36"/>
      <c r="F23" s="36"/>
      <c r="G23" s="43" t="str">
        <f>IF(G22&lt;='Settings &amp; Rates'!B56, "✔️ PASS (Within 2.0% Tolerance)", "⚠️ AUDIT REQUIRED")</f>
        <v>⚠️ AUDIT REQUIRED</v>
      </c>
      <c r="H23" s="43"/>
      <c r="I23" s="43"/>
    </row>
  </sheetData>
  <mergeCells count="13">
    <mergeCell ref="A1:I1"/>
    <mergeCell ref="A16:F16"/>
    <mergeCell ref="A18:I18"/>
    <mergeCell ref="A19:F19"/>
    <mergeCell ref="G19:I19"/>
    <mergeCell ref="A23:F23"/>
    <mergeCell ref="G23:I23"/>
    <mergeCell ref="A20:F20"/>
    <mergeCell ref="G20:I20"/>
    <mergeCell ref="A21:F21"/>
    <mergeCell ref="G21:I21"/>
    <mergeCell ref="A22:F22"/>
    <mergeCell ref="G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Normal="100" workbookViewId="0">
      <selection sqref="A1:G1"/>
    </sheetView>
  </sheetViews>
  <sheetFormatPr defaultColWidth="8.6640625" defaultRowHeight="14.4" x14ac:dyDescent="0.3"/>
  <cols>
    <col min="1" max="1" width="14" style="1" customWidth="1"/>
    <col min="2" max="2" width="46" style="1" customWidth="1"/>
    <col min="3" max="3" width="18" style="1" customWidth="1"/>
    <col min="4" max="4" width="12" style="1" customWidth="1"/>
    <col min="5" max="5" width="22" style="1" customWidth="1"/>
    <col min="6" max="6" width="24" style="1" customWidth="1"/>
    <col min="7" max="7" width="14" style="1" customWidth="1"/>
  </cols>
  <sheetData>
    <row r="1" spans="1:7" ht="30" customHeight="1" x14ac:dyDescent="0.3">
      <c r="A1" s="40" t="s">
        <v>151</v>
      </c>
      <c r="B1" s="40"/>
      <c r="C1" s="40"/>
      <c r="D1" s="40"/>
      <c r="E1" s="40"/>
      <c r="F1" s="40"/>
      <c r="G1" s="40"/>
    </row>
    <row r="3" spans="1:7" ht="15" customHeight="1" x14ac:dyDescent="0.35">
      <c r="A3" s="17" t="s">
        <v>118</v>
      </c>
      <c r="B3" s="18">
        <f>'Project Summary &amp; BOQ'!D6</f>
        <v>1500</v>
      </c>
      <c r="C3" s="1" t="s">
        <v>93</v>
      </c>
    </row>
    <row r="5" spans="1:7" ht="24" customHeight="1" x14ac:dyDescent="0.3">
      <c r="A5" s="2" t="s">
        <v>152</v>
      </c>
      <c r="B5" s="2" t="s">
        <v>43</v>
      </c>
      <c r="C5" s="2" t="s">
        <v>121</v>
      </c>
      <c r="D5" s="2" t="s">
        <v>82</v>
      </c>
      <c r="E5" s="2" t="s">
        <v>153</v>
      </c>
      <c r="F5" s="2" t="s">
        <v>154</v>
      </c>
      <c r="G5" s="2" t="s">
        <v>45</v>
      </c>
    </row>
    <row r="6" spans="1:7" ht="19.5" customHeight="1" x14ac:dyDescent="0.3">
      <c r="A6" s="7" t="s">
        <v>48</v>
      </c>
      <c r="B6" s="4" t="s">
        <v>155</v>
      </c>
      <c r="C6" s="21">
        <f>'Project Summary &amp; BOQ'!D6</f>
        <v>1500</v>
      </c>
      <c r="D6" s="7" t="s">
        <v>93</v>
      </c>
      <c r="E6" s="21">
        <f>'Settings &amp; Rates'!B11</f>
        <v>751.25</v>
      </c>
      <c r="F6" s="21">
        <f t="shared" ref="F6:F11" si="0">C6*E6</f>
        <v>1126875</v>
      </c>
      <c r="G6" s="13">
        <f t="shared" ref="G6:G13" si="1">F6/$F$14</f>
        <v>0.42360337754972582</v>
      </c>
    </row>
    <row r="7" spans="1:7" ht="19.5" customHeight="1" x14ac:dyDescent="0.3">
      <c r="A7" s="7" t="s">
        <v>52</v>
      </c>
      <c r="B7" s="4" t="s">
        <v>156</v>
      </c>
      <c r="C7" s="21">
        <f>'Project Summary &amp; BOQ'!D6</f>
        <v>1500</v>
      </c>
      <c r="D7" s="7" t="s">
        <v>93</v>
      </c>
      <c r="E7" s="21">
        <f>'Settings &amp; Rates'!B12</f>
        <v>467.5</v>
      </c>
      <c r="F7" s="21">
        <f t="shared" si="0"/>
        <v>701250</v>
      </c>
      <c r="G7" s="13">
        <f t="shared" si="1"/>
        <v>0.26360676073809891</v>
      </c>
    </row>
    <row r="8" spans="1:7" ht="19.5" customHeight="1" x14ac:dyDescent="0.3">
      <c r="A8" s="7" t="s">
        <v>55</v>
      </c>
      <c r="B8" s="4" t="s">
        <v>56</v>
      </c>
      <c r="C8" s="21">
        <f>'Project Summary &amp; BOQ'!D6</f>
        <v>1500</v>
      </c>
      <c r="D8" s="7" t="s">
        <v>93</v>
      </c>
      <c r="E8" s="21">
        <f>'Settings &amp; Rates'!B13</f>
        <v>133</v>
      </c>
      <c r="F8" s="21">
        <f t="shared" si="0"/>
        <v>199500</v>
      </c>
      <c r="G8" s="13">
        <f t="shared" si="1"/>
        <v>7.4994008937255954E-2</v>
      </c>
    </row>
    <row r="9" spans="1:7" ht="19.5" customHeight="1" x14ac:dyDescent="0.3">
      <c r="A9" s="7" t="s">
        <v>58</v>
      </c>
      <c r="B9" s="4" t="s">
        <v>59</v>
      </c>
      <c r="C9" s="21">
        <f>'Project Summary &amp; BOQ'!D6</f>
        <v>1500</v>
      </c>
      <c r="D9" s="7" t="s">
        <v>93</v>
      </c>
      <c r="E9" s="21">
        <f>'Settings &amp; Rates'!B14</f>
        <v>126</v>
      </c>
      <c r="F9" s="21">
        <f t="shared" si="0"/>
        <v>189000</v>
      </c>
      <c r="G9" s="13">
        <f t="shared" si="1"/>
        <v>7.1046955835295106E-2</v>
      </c>
    </row>
    <row r="10" spans="1:7" ht="19.5" customHeight="1" x14ac:dyDescent="0.3">
      <c r="A10" s="7" t="s">
        <v>61</v>
      </c>
      <c r="B10" s="4" t="s">
        <v>62</v>
      </c>
      <c r="C10" s="21">
        <f>'Project Summary &amp; BOQ'!D6</f>
        <v>1500</v>
      </c>
      <c r="D10" s="7" t="s">
        <v>93</v>
      </c>
      <c r="E10" s="21">
        <f>'Settings &amp; Rates'!B15</f>
        <v>40</v>
      </c>
      <c r="F10" s="21">
        <f t="shared" si="0"/>
        <v>60000</v>
      </c>
      <c r="G10" s="13">
        <f t="shared" si="1"/>
        <v>2.255458915406194E-2</v>
      </c>
    </row>
    <row r="11" spans="1:7" ht="19.5" customHeight="1" x14ac:dyDescent="0.3">
      <c r="A11" s="7" t="s">
        <v>64</v>
      </c>
      <c r="B11" s="4" t="s">
        <v>65</v>
      </c>
      <c r="C11" s="21">
        <f>'Project Summary &amp; BOQ'!D6</f>
        <v>1500</v>
      </c>
      <c r="D11" s="7" t="s">
        <v>93</v>
      </c>
      <c r="E11" s="21">
        <f>'Settings &amp; Rates'!B16</f>
        <v>94.5</v>
      </c>
      <c r="F11" s="21">
        <f t="shared" si="0"/>
        <v>141750</v>
      </c>
      <c r="G11" s="13">
        <f t="shared" si="1"/>
        <v>5.3285216876471336E-2</v>
      </c>
    </row>
    <row r="12" spans="1:7" ht="21" customHeight="1" x14ac:dyDescent="0.3">
      <c r="A12" s="33" t="s">
        <v>157</v>
      </c>
      <c r="B12" s="33"/>
      <c r="C12" s="33"/>
      <c r="D12" s="33"/>
      <c r="E12" s="33"/>
      <c r="F12" s="25">
        <f>SUM(F6:F11)</f>
        <v>2418375</v>
      </c>
      <c r="G12" s="26">
        <f t="shared" si="1"/>
        <v>0.90909090909090906</v>
      </c>
    </row>
    <row r="13" spans="1:7" ht="21" customHeight="1" x14ac:dyDescent="0.3">
      <c r="A13" s="45" t="s">
        <v>158</v>
      </c>
      <c r="B13" s="45"/>
      <c r="C13" s="45"/>
      <c r="D13" s="45"/>
      <c r="E13" s="45"/>
      <c r="F13" s="27">
        <f>F12*'Settings &amp; Rates'!B17</f>
        <v>241837.5</v>
      </c>
      <c r="G13" s="28">
        <f t="shared" si="1"/>
        <v>9.0909090909090912E-2</v>
      </c>
    </row>
    <row r="14" spans="1:7" ht="21.75" customHeight="1" x14ac:dyDescent="0.3">
      <c r="A14" s="33" t="s">
        <v>159</v>
      </c>
      <c r="B14" s="33"/>
      <c r="C14" s="33"/>
      <c r="D14" s="33"/>
      <c r="E14" s="33"/>
      <c r="F14" s="14">
        <f>F12+F13</f>
        <v>2660212.5</v>
      </c>
      <c r="G14" s="15" t="s">
        <v>39</v>
      </c>
    </row>
  </sheetData>
  <mergeCells count="4">
    <mergeCell ref="A1:G1"/>
    <mergeCell ref="A12:E12"/>
    <mergeCell ref="A13:E1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topLeftCell="A70" zoomScaleNormal="100" workbookViewId="0">
      <selection activeCell="D81" sqref="D81"/>
    </sheetView>
  </sheetViews>
  <sheetFormatPr defaultColWidth="8.6640625" defaultRowHeight="14.4" x14ac:dyDescent="0.3"/>
  <cols>
    <col min="1" max="1" width="36" style="1" customWidth="1"/>
    <col min="2" max="2" width="20" style="1" customWidth="1"/>
    <col min="3" max="3" width="18" style="1" customWidth="1"/>
    <col min="4" max="4" width="45" style="1" customWidth="1"/>
    <col min="5" max="5" width="15" style="1" customWidth="1"/>
  </cols>
  <sheetData>
    <row r="1" spans="1:5" ht="30" customHeight="1" x14ac:dyDescent="0.3">
      <c r="A1" s="40" t="s">
        <v>160</v>
      </c>
      <c r="B1" s="40"/>
      <c r="C1" s="40"/>
      <c r="D1" s="40"/>
      <c r="E1" s="40"/>
    </row>
    <row r="3" spans="1:5" ht="21.75" customHeight="1" x14ac:dyDescent="0.3">
      <c r="A3" s="34" t="s">
        <v>161</v>
      </c>
      <c r="B3" s="34"/>
      <c r="C3" s="34"/>
      <c r="D3" s="34"/>
      <c r="E3" s="34"/>
    </row>
    <row r="4" spans="1:5" ht="19.5" customHeight="1" x14ac:dyDescent="0.3">
      <c r="A4" s="29" t="s">
        <v>162</v>
      </c>
      <c r="B4" s="2" t="s">
        <v>163</v>
      </c>
      <c r="C4" s="2" t="s">
        <v>164</v>
      </c>
      <c r="D4" s="2" t="s">
        <v>165</v>
      </c>
    </row>
    <row r="5" spans="1:5" ht="18.75" customHeight="1" x14ac:dyDescent="0.3">
      <c r="A5" s="12" t="s">
        <v>166</v>
      </c>
      <c r="B5" s="21">
        <v>1500</v>
      </c>
      <c r="C5" s="7" t="s">
        <v>167</v>
      </c>
      <c r="D5" s="4" t="s">
        <v>168</v>
      </c>
    </row>
    <row r="6" spans="1:5" ht="18.75" customHeight="1" x14ac:dyDescent="0.3">
      <c r="A6" s="12" t="s">
        <v>169</v>
      </c>
      <c r="B6" s="21">
        <v>1800</v>
      </c>
      <c r="C6" s="7" t="s">
        <v>170</v>
      </c>
      <c r="D6" s="4" t="s">
        <v>171</v>
      </c>
    </row>
    <row r="7" spans="1:5" ht="18.75" customHeight="1" x14ac:dyDescent="0.3">
      <c r="A7" s="12" t="s">
        <v>172</v>
      </c>
      <c r="B7" s="21">
        <v>2400</v>
      </c>
      <c r="C7" s="7" t="s">
        <v>173</v>
      </c>
      <c r="D7" s="4" t="s">
        <v>174</v>
      </c>
    </row>
    <row r="9" spans="1:5" ht="21.75" customHeight="1" x14ac:dyDescent="0.3">
      <c r="A9" s="34" t="s">
        <v>175</v>
      </c>
      <c r="B9" s="34"/>
      <c r="C9" s="34"/>
      <c r="D9" s="34"/>
      <c r="E9" s="34"/>
    </row>
    <row r="10" spans="1:5" ht="19.5" customHeight="1" x14ac:dyDescent="0.3">
      <c r="A10" s="29" t="s">
        <v>176</v>
      </c>
      <c r="B10" s="2" t="s">
        <v>163</v>
      </c>
      <c r="C10" s="2" t="s">
        <v>164</v>
      </c>
      <c r="D10" s="2" t="s">
        <v>177</v>
      </c>
    </row>
    <row r="11" spans="1:5" ht="18.75" customHeight="1" x14ac:dyDescent="0.3">
      <c r="A11" s="12" t="s">
        <v>178</v>
      </c>
      <c r="B11" s="21">
        <v>751.25</v>
      </c>
      <c r="C11" s="7" t="s">
        <v>179</v>
      </c>
      <c r="D11" s="4" t="s">
        <v>180</v>
      </c>
    </row>
    <row r="12" spans="1:5" ht="18.75" customHeight="1" x14ac:dyDescent="0.3">
      <c r="A12" s="12" t="s">
        <v>181</v>
      </c>
      <c r="B12" s="21">
        <v>467.5</v>
      </c>
      <c r="C12" s="7" t="s">
        <v>182</v>
      </c>
      <c r="D12" s="4" t="s">
        <v>183</v>
      </c>
    </row>
    <row r="13" spans="1:5" ht="18.75" customHeight="1" x14ac:dyDescent="0.3">
      <c r="A13" s="12" t="s">
        <v>184</v>
      </c>
      <c r="B13" s="21">
        <v>133</v>
      </c>
      <c r="C13" s="7" t="s">
        <v>185</v>
      </c>
      <c r="D13" s="4" t="s">
        <v>186</v>
      </c>
    </row>
    <row r="14" spans="1:5" ht="18.75" customHeight="1" x14ac:dyDescent="0.3">
      <c r="A14" s="12" t="s">
        <v>187</v>
      </c>
      <c r="B14" s="21">
        <v>126</v>
      </c>
      <c r="C14" s="7" t="s">
        <v>188</v>
      </c>
      <c r="D14" s="4" t="s">
        <v>189</v>
      </c>
    </row>
    <row r="15" spans="1:5" ht="18.75" customHeight="1" x14ac:dyDescent="0.3">
      <c r="A15" s="12" t="s">
        <v>190</v>
      </c>
      <c r="B15" s="21">
        <v>40</v>
      </c>
      <c r="C15" s="7" t="s">
        <v>191</v>
      </c>
      <c r="D15" s="4" t="s">
        <v>192</v>
      </c>
    </row>
    <row r="16" spans="1:5" ht="18.75" customHeight="1" x14ac:dyDescent="0.3">
      <c r="A16" s="12" t="s">
        <v>193</v>
      </c>
      <c r="B16" s="21">
        <v>94.5</v>
      </c>
      <c r="C16" s="7" t="s">
        <v>194</v>
      </c>
      <c r="D16" s="4" t="s">
        <v>195</v>
      </c>
    </row>
    <row r="17" spans="1:5" ht="18.75" customHeight="1" x14ac:dyDescent="0.3">
      <c r="A17" s="12" t="s">
        <v>196</v>
      </c>
      <c r="B17" s="6">
        <v>0.1</v>
      </c>
      <c r="C17" s="7" t="s">
        <v>197</v>
      </c>
      <c r="D17" s="4" t="s">
        <v>198</v>
      </c>
    </row>
    <row r="19" spans="1:5" ht="21.75" customHeight="1" x14ac:dyDescent="0.3">
      <c r="A19" s="34" t="s">
        <v>199</v>
      </c>
      <c r="B19" s="34"/>
      <c r="C19" s="34"/>
      <c r="D19" s="34"/>
      <c r="E19" s="34"/>
    </row>
    <row r="20" spans="1:5" ht="19.5" customHeight="1" x14ac:dyDescent="0.3">
      <c r="A20" s="29" t="s">
        <v>200</v>
      </c>
      <c r="B20" s="2" t="s">
        <v>83</v>
      </c>
      <c r="C20" s="2" t="s">
        <v>201</v>
      </c>
      <c r="D20" s="2" t="s">
        <v>202</v>
      </c>
    </row>
    <row r="21" spans="1:5" ht="18.75" customHeight="1" x14ac:dyDescent="0.3">
      <c r="A21" s="12" t="s">
        <v>84</v>
      </c>
      <c r="B21" s="21">
        <v>65</v>
      </c>
      <c r="C21" s="7" t="s">
        <v>203</v>
      </c>
      <c r="D21" s="4" t="s">
        <v>204</v>
      </c>
    </row>
    <row r="22" spans="1:5" ht="18.75" customHeight="1" x14ac:dyDescent="0.3">
      <c r="A22" s="12" t="s">
        <v>205</v>
      </c>
      <c r="B22" s="21">
        <v>380</v>
      </c>
      <c r="C22" s="7" t="s">
        <v>206</v>
      </c>
      <c r="D22" s="4" t="s">
        <v>207</v>
      </c>
    </row>
    <row r="23" spans="1:5" ht="18.75" customHeight="1" x14ac:dyDescent="0.3">
      <c r="A23" s="12" t="s">
        <v>97</v>
      </c>
      <c r="B23" s="21">
        <v>55</v>
      </c>
      <c r="C23" s="7" t="s">
        <v>208</v>
      </c>
      <c r="D23" s="4" t="s">
        <v>209</v>
      </c>
    </row>
    <row r="24" spans="1:5" ht="18.75" customHeight="1" x14ac:dyDescent="0.3">
      <c r="A24" s="12" t="s">
        <v>100</v>
      </c>
      <c r="B24" s="21">
        <v>45</v>
      </c>
      <c r="C24" s="7" t="s">
        <v>208</v>
      </c>
      <c r="D24" s="4" t="s">
        <v>210</v>
      </c>
    </row>
    <row r="25" spans="1:5" ht="18.75" customHeight="1" x14ac:dyDescent="0.3">
      <c r="A25" s="12" t="s">
        <v>211</v>
      </c>
      <c r="B25" s="21">
        <v>9</v>
      </c>
      <c r="C25" s="7" t="s">
        <v>212</v>
      </c>
      <c r="D25" s="4" t="s">
        <v>213</v>
      </c>
    </row>
    <row r="26" spans="1:5" ht="18.75" customHeight="1" x14ac:dyDescent="0.3">
      <c r="A26" s="12" t="s">
        <v>214</v>
      </c>
      <c r="B26" s="21">
        <v>65</v>
      </c>
      <c r="C26" s="7" t="s">
        <v>215</v>
      </c>
      <c r="D26" s="4" t="s">
        <v>216</v>
      </c>
    </row>
    <row r="27" spans="1:5" ht="18.75" customHeight="1" x14ac:dyDescent="0.3">
      <c r="A27" s="12" t="s">
        <v>217</v>
      </c>
      <c r="B27" s="21">
        <v>60</v>
      </c>
      <c r="C27" s="7" t="s">
        <v>215</v>
      </c>
      <c r="D27" s="4" t="s">
        <v>218</v>
      </c>
    </row>
    <row r="28" spans="1:5" ht="18.75" customHeight="1" x14ac:dyDescent="0.3">
      <c r="A28" s="12" t="s">
        <v>219</v>
      </c>
      <c r="B28" s="21">
        <v>40</v>
      </c>
      <c r="C28" s="7" t="s">
        <v>215</v>
      </c>
      <c r="D28" s="4" t="s">
        <v>220</v>
      </c>
    </row>
    <row r="29" spans="1:5" ht="18.75" customHeight="1" x14ac:dyDescent="0.3">
      <c r="A29" s="12" t="s">
        <v>221</v>
      </c>
      <c r="B29" s="21">
        <v>130</v>
      </c>
      <c r="C29" s="7" t="s">
        <v>215</v>
      </c>
      <c r="D29" s="4" t="s">
        <v>222</v>
      </c>
    </row>
    <row r="30" spans="1:5" ht="18.75" customHeight="1" x14ac:dyDescent="0.3">
      <c r="A30" s="12" t="s">
        <v>223</v>
      </c>
      <c r="B30" s="21">
        <v>70</v>
      </c>
      <c r="C30" s="7" t="s">
        <v>215</v>
      </c>
      <c r="D30" s="4" t="s">
        <v>224</v>
      </c>
    </row>
    <row r="32" spans="1:5" ht="21.75" customHeight="1" x14ac:dyDescent="0.3">
      <c r="A32" s="34" t="s">
        <v>225</v>
      </c>
      <c r="B32" s="34"/>
      <c r="C32" s="34"/>
      <c r="D32" s="34"/>
      <c r="E32" s="34"/>
    </row>
    <row r="33" spans="1:5" ht="19.5" customHeight="1" x14ac:dyDescent="0.3">
      <c r="A33" s="29" t="s">
        <v>226</v>
      </c>
      <c r="B33" s="2" t="s">
        <v>227</v>
      </c>
      <c r="C33" s="2" t="s">
        <v>228</v>
      </c>
      <c r="D33" s="2" t="s">
        <v>229</v>
      </c>
    </row>
    <row r="34" spans="1:5" ht="18.75" customHeight="1" x14ac:dyDescent="0.3">
      <c r="A34" s="12" t="s">
        <v>230</v>
      </c>
      <c r="B34" s="21">
        <v>950</v>
      </c>
      <c r="C34" s="7" t="s">
        <v>231</v>
      </c>
      <c r="D34" s="4" t="s">
        <v>232</v>
      </c>
    </row>
    <row r="35" spans="1:5" ht="18.75" customHeight="1" x14ac:dyDescent="0.3">
      <c r="A35" s="12" t="s">
        <v>233</v>
      </c>
      <c r="B35" s="21">
        <v>900</v>
      </c>
      <c r="C35" s="7" t="s">
        <v>234</v>
      </c>
      <c r="D35" s="4" t="s">
        <v>235</v>
      </c>
    </row>
    <row r="36" spans="1:5" ht="18.75" customHeight="1" x14ac:dyDescent="0.3">
      <c r="A36" s="12" t="s">
        <v>236</v>
      </c>
      <c r="B36" s="21">
        <v>900</v>
      </c>
      <c r="C36" s="7" t="s">
        <v>237</v>
      </c>
      <c r="D36" s="4" t="s">
        <v>238</v>
      </c>
    </row>
    <row r="37" spans="1:5" ht="18.75" customHeight="1" x14ac:dyDescent="0.3">
      <c r="A37" s="12" t="s">
        <v>239</v>
      </c>
      <c r="B37" s="21">
        <v>850</v>
      </c>
      <c r="C37" s="7" t="s">
        <v>240</v>
      </c>
      <c r="D37" s="4" t="s">
        <v>241</v>
      </c>
    </row>
    <row r="38" spans="1:5" ht="18.75" customHeight="1" x14ac:dyDescent="0.3">
      <c r="A38" s="12" t="s">
        <v>242</v>
      </c>
      <c r="B38" s="21">
        <v>900</v>
      </c>
      <c r="C38" s="7" t="s">
        <v>243</v>
      </c>
      <c r="D38" s="4" t="s">
        <v>244</v>
      </c>
    </row>
    <row r="39" spans="1:5" ht="18.75" customHeight="1" x14ac:dyDescent="0.3">
      <c r="A39" s="12" t="s">
        <v>245</v>
      </c>
      <c r="B39" s="21">
        <v>900</v>
      </c>
      <c r="C39" s="7" t="s">
        <v>246</v>
      </c>
      <c r="D39" s="4" t="s">
        <v>247</v>
      </c>
    </row>
    <row r="40" spans="1:5" ht="18.75" customHeight="1" x14ac:dyDescent="0.3">
      <c r="A40" s="12" t="s">
        <v>248</v>
      </c>
      <c r="B40" s="21">
        <v>600</v>
      </c>
      <c r="C40" s="7" t="s">
        <v>249</v>
      </c>
      <c r="D40" s="4" t="s">
        <v>250</v>
      </c>
    </row>
    <row r="41" spans="1:5" ht="18.75" customHeight="1" x14ac:dyDescent="0.3">
      <c r="A41" s="12" t="s">
        <v>251</v>
      </c>
      <c r="B41" s="21">
        <v>1400</v>
      </c>
      <c r="C41" s="7" t="s">
        <v>252</v>
      </c>
      <c r="D41" s="4" t="s">
        <v>253</v>
      </c>
    </row>
    <row r="43" spans="1:5" ht="21.75" customHeight="1" x14ac:dyDescent="0.3">
      <c r="A43" s="34" t="s">
        <v>254</v>
      </c>
      <c r="B43" s="34"/>
      <c r="C43" s="34"/>
      <c r="D43" s="34"/>
      <c r="E43" s="34"/>
    </row>
    <row r="44" spans="1:5" ht="19.5" customHeight="1" x14ac:dyDescent="0.3">
      <c r="A44" s="29" t="s">
        <v>255</v>
      </c>
      <c r="B44" s="2" t="s">
        <v>256</v>
      </c>
      <c r="C44" s="2" t="s">
        <v>257</v>
      </c>
      <c r="D44" s="2" t="s">
        <v>258</v>
      </c>
    </row>
    <row r="45" spans="1:5" ht="18.75" customHeight="1" x14ac:dyDescent="0.3">
      <c r="A45" s="12" t="s">
        <v>259</v>
      </c>
      <c r="B45" s="30">
        <v>0.24</v>
      </c>
      <c r="C45" s="7" t="s">
        <v>260</v>
      </c>
      <c r="D45" s="4" t="s">
        <v>261</v>
      </c>
    </row>
    <row r="46" spans="1:5" ht="18.75" customHeight="1" x14ac:dyDescent="0.3">
      <c r="A46" s="12" t="s">
        <v>262</v>
      </c>
      <c r="B46" s="21">
        <v>2.9</v>
      </c>
      <c r="C46" s="7" t="s">
        <v>260</v>
      </c>
      <c r="D46" s="4" t="s">
        <v>263</v>
      </c>
    </row>
    <row r="47" spans="1:5" ht="18.75" customHeight="1" x14ac:dyDescent="0.3">
      <c r="A47" s="12" t="s">
        <v>264</v>
      </c>
      <c r="B47" s="21">
        <v>1.35</v>
      </c>
      <c r="C47" s="7" t="s">
        <v>265</v>
      </c>
      <c r="D47" s="4" t="s">
        <v>266</v>
      </c>
    </row>
    <row r="48" spans="1:5" ht="18.75" customHeight="1" x14ac:dyDescent="0.3">
      <c r="A48" s="12" t="s">
        <v>267</v>
      </c>
      <c r="B48" s="21">
        <v>14.5</v>
      </c>
      <c r="C48" s="7" t="s">
        <v>268</v>
      </c>
      <c r="D48" s="4" t="s">
        <v>266</v>
      </c>
    </row>
    <row r="49" spans="1:5" ht="18.75" customHeight="1" x14ac:dyDescent="0.3">
      <c r="A49" s="12" t="s">
        <v>269</v>
      </c>
      <c r="B49" s="21">
        <v>11</v>
      </c>
      <c r="C49" s="7" t="s">
        <v>268</v>
      </c>
      <c r="D49" s="4" t="s">
        <v>270</v>
      </c>
    </row>
    <row r="50" spans="1:5" ht="18.75" customHeight="1" x14ac:dyDescent="0.3">
      <c r="A50" s="12" t="s">
        <v>135</v>
      </c>
      <c r="B50" s="30">
        <v>0.13500000000000001</v>
      </c>
      <c r="C50" s="7" t="s">
        <v>271</v>
      </c>
      <c r="D50" s="4" t="s">
        <v>272</v>
      </c>
    </row>
    <row r="51" spans="1:5" ht="18.75" customHeight="1" x14ac:dyDescent="0.3">
      <c r="A51" s="12" t="s">
        <v>273</v>
      </c>
      <c r="B51" s="21">
        <v>13.5</v>
      </c>
      <c r="C51" s="7" t="s">
        <v>268</v>
      </c>
      <c r="D51" s="4" t="s">
        <v>266</v>
      </c>
    </row>
    <row r="52" spans="1:5" ht="18.75" customHeight="1" x14ac:dyDescent="0.3">
      <c r="A52" s="12" t="s">
        <v>274</v>
      </c>
      <c r="B52" s="21">
        <v>28</v>
      </c>
      <c r="C52" s="7" t="s">
        <v>268</v>
      </c>
      <c r="D52" s="4" t="s">
        <v>275</v>
      </c>
    </row>
    <row r="53" spans="1:5" ht="18.75" customHeight="1" x14ac:dyDescent="0.3">
      <c r="A53" s="46" t="s">
        <v>276</v>
      </c>
      <c r="B53" s="32">
        <v>32.5</v>
      </c>
      <c r="C53" s="47" t="s">
        <v>277</v>
      </c>
      <c r="D53" s="48" t="s">
        <v>278</v>
      </c>
    </row>
    <row r="54" spans="1:5" ht="18.75" customHeight="1" x14ac:dyDescent="0.3">
      <c r="A54" s="46" t="s">
        <v>279</v>
      </c>
      <c r="B54" s="32">
        <v>29.5</v>
      </c>
      <c r="C54" s="47" t="s">
        <v>277</v>
      </c>
      <c r="D54" s="48" t="s">
        <v>280</v>
      </c>
    </row>
    <row r="55" spans="1:5" ht="18.75" customHeight="1" x14ac:dyDescent="0.3">
      <c r="A55" s="12" t="s">
        <v>281</v>
      </c>
      <c r="B55" s="21">
        <v>30</v>
      </c>
      <c r="C55" s="7" t="s">
        <v>282</v>
      </c>
      <c r="D55" s="4" t="s">
        <v>283</v>
      </c>
    </row>
    <row r="56" spans="1:5" ht="18.75" customHeight="1" x14ac:dyDescent="0.3">
      <c r="A56" s="12" t="s">
        <v>284</v>
      </c>
      <c r="B56" s="6">
        <v>0.02</v>
      </c>
      <c r="C56" s="7" t="s">
        <v>285</v>
      </c>
      <c r="D56" s="4" t="s">
        <v>286</v>
      </c>
    </row>
    <row r="57" spans="1:5" ht="18.75" customHeight="1" x14ac:dyDescent="0.3">
      <c r="A57" s="12" t="s">
        <v>287</v>
      </c>
      <c r="B57" s="6">
        <v>0.05</v>
      </c>
      <c r="C57" s="7" t="s">
        <v>285</v>
      </c>
      <c r="D57" s="4" t="s">
        <v>288</v>
      </c>
    </row>
    <row r="59" spans="1:5" ht="21.75" customHeight="1" x14ac:dyDescent="0.3">
      <c r="A59" s="34" t="s">
        <v>289</v>
      </c>
      <c r="B59" s="34"/>
      <c r="C59" s="34"/>
      <c r="D59" s="34"/>
      <c r="E59" s="34"/>
    </row>
    <row r="60" spans="1:5" ht="15" customHeight="1" x14ac:dyDescent="0.3">
      <c r="A60" s="29" t="s">
        <v>290</v>
      </c>
      <c r="B60" s="29" t="s">
        <v>291</v>
      </c>
      <c r="C60" s="29" t="s">
        <v>164</v>
      </c>
      <c r="D60" s="29" t="s">
        <v>165</v>
      </c>
    </row>
    <row r="61" spans="1:5" ht="15" customHeight="1" x14ac:dyDescent="0.3">
      <c r="A61" s="12" t="s">
        <v>292</v>
      </c>
      <c r="B61" s="21">
        <v>9.2903040000000006E-2</v>
      </c>
      <c r="C61" s="7" t="s">
        <v>293</v>
      </c>
      <c r="D61" s="4" t="s">
        <v>294</v>
      </c>
    </row>
    <row r="62" spans="1:5" ht="15" customHeight="1" x14ac:dyDescent="0.3">
      <c r="A62" s="12" t="s">
        <v>295</v>
      </c>
      <c r="B62" s="21">
        <v>3.7999999999999999E-2</v>
      </c>
      <c r="C62" s="7" t="s">
        <v>296</v>
      </c>
      <c r="D62" s="4" t="s">
        <v>297</v>
      </c>
    </row>
    <row r="63" spans="1:5" ht="15" customHeight="1" x14ac:dyDescent="0.3">
      <c r="A63" s="12" t="s">
        <v>298</v>
      </c>
      <c r="B63" s="21">
        <v>0.15</v>
      </c>
      <c r="C63" s="7" t="s">
        <v>299</v>
      </c>
      <c r="D63" s="4" t="s">
        <v>300</v>
      </c>
    </row>
    <row r="64" spans="1:5" ht="15" customHeight="1" x14ac:dyDescent="0.3">
      <c r="A64" s="12" t="s">
        <v>301</v>
      </c>
      <c r="B64" s="21">
        <v>0.15</v>
      </c>
      <c r="C64" s="7" t="s">
        <v>302</v>
      </c>
      <c r="D64" s="4" t="s">
        <v>303</v>
      </c>
    </row>
    <row r="65" spans="1:4" ht="15" customHeight="1" x14ac:dyDescent="0.3">
      <c r="A65" s="12" t="s">
        <v>304</v>
      </c>
      <c r="B65" s="21">
        <v>0.3</v>
      </c>
      <c r="C65" s="7" t="s">
        <v>305</v>
      </c>
      <c r="D65" s="4" t="s">
        <v>306</v>
      </c>
    </row>
    <row r="66" spans="1:4" ht="15" customHeight="1" x14ac:dyDescent="0.3">
      <c r="A66" s="12" t="s">
        <v>307</v>
      </c>
      <c r="B66" s="21">
        <v>0.4</v>
      </c>
      <c r="C66" s="7" t="s">
        <v>308</v>
      </c>
      <c r="D66" s="4" t="s">
        <v>309</v>
      </c>
    </row>
    <row r="67" spans="1:4" ht="15" customHeight="1" x14ac:dyDescent="0.3">
      <c r="A67" s="12" t="s">
        <v>310</v>
      </c>
      <c r="B67" s="21">
        <v>8.0000000000000002E-3</v>
      </c>
      <c r="C67" s="7" t="s">
        <v>311</v>
      </c>
      <c r="D67" s="4" t="s">
        <v>312</v>
      </c>
    </row>
    <row r="68" spans="1:4" ht="15" customHeight="1" x14ac:dyDescent="0.3">
      <c r="A68" s="12" t="s">
        <v>313</v>
      </c>
      <c r="B68" s="21">
        <v>2.5000000000000001E-2</v>
      </c>
      <c r="C68" s="7" t="s">
        <v>314</v>
      </c>
      <c r="D68" s="4" t="s">
        <v>315</v>
      </c>
    </row>
    <row r="69" spans="1:4" ht="15" customHeight="1" x14ac:dyDescent="0.3">
      <c r="A69" s="12" t="s">
        <v>316</v>
      </c>
      <c r="B69" s="21">
        <v>0.02</v>
      </c>
      <c r="C69" s="7" t="s">
        <v>317</v>
      </c>
      <c r="D69" s="4" t="s">
        <v>318</v>
      </c>
    </row>
    <row r="70" spans="1:4" ht="15" customHeight="1" x14ac:dyDescent="0.3">
      <c r="A70" s="12" t="s">
        <v>319</v>
      </c>
      <c r="B70" s="21">
        <v>0.01</v>
      </c>
      <c r="C70" s="7" t="s">
        <v>320</v>
      </c>
      <c r="D70" s="4" t="s">
        <v>321</v>
      </c>
    </row>
    <row r="71" spans="1:4" ht="15" customHeight="1" x14ac:dyDescent="0.3">
      <c r="A71" s="12" t="s">
        <v>322</v>
      </c>
      <c r="B71" s="21">
        <v>7850</v>
      </c>
      <c r="C71" s="7" t="s">
        <v>323</v>
      </c>
      <c r="D71" s="4" t="s">
        <v>324</v>
      </c>
    </row>
    <row r="72" spans="1:4" ht="15" customHeight="1" x14ac:dyDescent="0.3">
      <c r="A72" s="12" t="s">
        <v>325</v>
      </c>
      <c r="B72" s="21">
        <v>2.4</v>
      </c>
      <c r="C72" s="7" t="s">
        <v>326</v>
      </c>
      <c r="D72" s="4" t="s">
        <v>327</v>
      </c>
    </row>
    <row r="73" spans="1:4" ht="15" customHeight="1" x14ac:dyDescent="0.3">
      <c r="A73" s="12" t="s">
        <v>328</v>
      </c>
      <c r="B73" s="21">
        <v>8</v>
      </c>
      <c r="C73" s="7" t="s">
        <v>329</v>
      </c>
      <c r="D73" s="4" t="s">
        <v>330</v>
      </c>
    </row>
    <row r="74" spans="1:4" ht="15" customHeight="1" x14ac:dyDescent="0.3">
      <c r="A74" s="12" t="s">
        <v>331</v>
      </c>
      <c r="B74" s="21">
        <v>1.26</v>
      </c>
      <c r="C74" s="7" t="s">
        <v>332</v>
      </c>
      <c r="D74" s="4" t="s">
        <v>333</v>
      </c>
    </row>
    <row r="75" spans="1:4" ht="15" customHeight="1" x14ac:dyDescent="0.3">
      <c r="A75" s="12" t="s">
        <v>334</v>
      </c>
      <c r="B75" s="21">
        <v>0.11</v>
      </c>
      <c r="C75" s="7" t="s">
        <v>335</v>
      </c>
      <c r="D75" s="4" t="s">
        <v>336</v>
      </c>
    </row>
    <row r="76" spans="1:4" ht="15" customHeight="1" x14ac:dyDescent="0.3">
      <c r="A76" s="12" t="s">
        <v>337</v>
      </c>
      <c r="B76" s="21">
        <v>0.25</v>
      </c>
      <c r="C76" s="7" t="s">
        <v>338</v>
      </c>
      <c r="D76" s="4" t="s">
        <v>339</v>
      </c>
    </row>
    <row r="77" spans="1:4" ht="15" customHeight="1" x14ac:dyDescent="0.3">
      <c r="A77" s="12" t="s">
        <v>340</v>
      </c>
      <c r="B77" s="21">
        <v>18</v>
      </c>
      <c r="C77" s="7" t="s">
        <v>341</v>
      </c>
      <c r="D77" s="4" t="s">
        <v>342</v>
      </c>
    </row>
    <row r="78" spans="1:4" ht="15" customHeight="1" x14ac:dyDescent="0.3">
      <c r="A78" s="12" t="s">
        <v>343</v>
      </c>
      <c r="B78" s="21">
        <v>500</v>
      </c>
      <c r="C78" s="7" t="s">
        <v>344</v>
      </c>
      <c r="D78" s="4" t="s">
        <v>345</v>
      </c>
    </row>
    <row r="79" spans="1:4" ht="15" customHeight="1" x14ac:dyDescent="0.3">
      <c r="A79" s="12" t="s">
        <v>346</v>
      </c>
      <c r="B79" s="21">
        <v>1.8</v>
      </c>
      <c r="C79" s="7" t="s">
        <v>347</v>
      </c>
      <c r="D79" s="4" t="s">
        <v>348</v>
      </c>
    </row>
    <row r="80" spans="1:4" ht="15" customHeight="1" x14ac:dyDescent="0.3">
      <c r="A80" s="12" t="s">
        <v>349</v>
      </c>
      <c r="B80" s="21">
        <v>1.35</v>
      </c>
      <c r="C80" s="7" t="s">
        <v>350</v>
      </c>
      <c r="D80" s="4" t="s">
        <v>351</v>
      </c>
    </row>
    <row r="81" spans="1:5" ht="15" customHeight="1" x14ac:dyDescent="0.3">
      <c r="A81" s="12" t="s">
        <v>352</v>
      </c>
      <c r="B81" s="21">
        <v>3</v>
      </c>
      <c r="C81" s="7" t="s">
        <v>353</v>
      </c>
      <c r="D81" s="4" t="s">
        <v>354</v>
      </c>
    </row>
    <row r="82" spans="1:5" ht="15" customHeight="1" x14ac:dyDescent="0.3">
      <c r="A82" s="12" t="s">
        <v>355</v>
      </c>
      <c r="B82" s="21">
        <v>1.25</v>
      </c>
      <c r="C82" s="7" t="s">
        <v>356</v>
      </c>
      <c r="D82" s="4" t="s">
        <v>357</v>
      </c>
    </row>
    <row r="83" spans="1:5" ht="15" customHeight="1" x14ac:dyDescent="0.3">
      <c r="A83" s="12" t="s">
        <v>358</v>
      </c>
      <c r="B83" s="21">
        <v>40</v>
      </c>
      <c r="C83" s="7" t="s">
        <v>359</v>
      </c>
      <c r="D83" s="4" t="s">
        <v>360</v>
      </c>
    </row>
    <row r="85" spans="1:5" ht="21.75" customHeight="1" x14ac:dyDescent="0.3">
      <c r="A85" s="34" t="s">
        <v>361</v>
      </c>
      <c r="B85" s="34"/>
      <c r="C85" s="34"/>
      <c r="D85" s="34"/>
      <c r="E85" s="34"/>
    </row>
    <row r="86" spans="1:5" ht="15" customHeight="1" x14ac:dyDescent="0.3">
      <c r="A86" s="29" t="s">
        <v>362</v>
      </c>
      <c r="B86" s="29" t="s">
        <v>291</v>
      </c>
      <c r="C86" s="29" t="s">
        <v>164</v>
      </c>
      <c r="D86" s="29" t="s">
        <v>165</v>
      </c>
    </row>
    <row r="87" spans="1:5" ht="15" customHeight="1" x14ac:dyDescent="0.3">
      <c r="A87" s="12" t="s">
        <v>363</v>
      </c>
      <c r="B87" s="21">
        <v>3</v>
      </c>
      <c r="C87" s="7" t="s">
        <v>364</v>
      </c>
      <c r="D87" s="4" t="s">
        <v>365</v>
      </c>
    </row>
    <row r="88" spans="1:5" ht="15" customHeight="1" x14ac:dyDescent="0.3">
      <c r="A88" s="12" t="s">
        <v>366</v>
      </c>
      <c r="B88" s="21">
        <v>3</v>
      </c>
      <c r="C88" s="7" t="s">
        <v>367</v>
      </c>
      <c r="D88" s="4" t="s">
        <v>368</v>
      </c>
    </row>
    <row r="89" spans="1:5" ht="15" customHeight="1" x14ac:dyDescent="0.3">
      <c r="A89" s="12" t="s">
        <v>369</v>
      </c>
      <c r="B89" s="21">
        <v>3</v>
      </c>
      <c r="C89" s="7" t="s">
        <v>370</v>
      </c>
      <c r="D89" s="4" t="s">
        <v>371</v>
      </c>
    </row>
    <row r="90" spans="1:5" ht="15" customHeight="1" x14ac:dyDescent="0.3">
      <c r="A90" s="12" t="s">
        <v>372</v>
      </c>
      <c r="B90" s="21">
        <v>4</v>
      </c>
      <c r="C90" s="7" t="s">
        <v>373</v>
      </c>
      <c r="D90" s="4" t="s">
        <v>374</v>
      </c>
    </row>
    <row r="91" spans="1:5" ht="15" customHeight="1" x14ac:dyDescent="0.3">
      <c r="A91" s="12" t="s">
        <v>375</v>
      </c>
      <c r="B91" s="21">
        <v>3</v>
      </c>
      <c r="C91" s="7" t="s">
        <v>376</v>
      </c>
      <c r="D91" s="4" t="s">
        <v>377</v>
      </c>
    </row>
    <row r="92" spans="1:5" ht="15" customHeight="1" x14ac:dyDescent="0.3">
      <c r="A92" s="12" t="s">
        <v>378</v>
      </c>
      <c r="B92" s="21">
        <v>2</v>
      </c>
      <c r="C92" s="7" t="s">
        <v>379</v>
      </c>
      <c r="D92" s="4" t="s">
        <v>380</v>
      </c>
    </row>
    <row r="93" spans="1:5" ht="15" customHeight="1" x14ac:dyDescent="0.3">
      <c r="A93" s="12" t="s">
        <v>381</v>
      </c>
      <c r="B93" s="21">
        <v>0.23</v>
      </c>
      <c r="C93" s="7" t="s">
        <v>382</v>
      </c>
      <c r="D93" s="4" t="s">
        <v>383</v>
      </c>
    </row>
    <row r="94" spans="1:5" ht="15" customHeight="1" x14ac:dyDescent="0.3">
      <c r="A94" s="12" t="s">
        <v>384</v>
      </c>
      <c r="B94" s="21">
        <v>0.21</v>
      </c>
      <c r="C94" s="7" t="s">
        <v>382</v>
      </c>
      <c r="D94" s="4" t="s">
        <v>385</v>
      </c>
    </row>
    <row r="95" spans="1:5" ht="15" customHeight="1" x14ac:dyDescent="0.3">
      <c r="A95" s="12" t="s">
        <v>386</v>
      </c>
      <c r="B95" s="21">
        <v>1</v>
      </c>
      <c r="C95" s="7" t="s">
        <v>387</v>
      </c>
      <c r="D95" s="4" t="s">
        <v>388</v>
      </c>
    </row>
    <row r="96" spans="1:5" ht="15" customHeight="1" x14ac:dyDescent="0.3">
      <c r="A96" s="12" t="s">
        <v>389</v>
      </c>
      <c r="B96" s="21">
        <v>0.75</v>
      </c>
      <c r="C96" s="7" t="s">
        <v>390</v>
      </c>
      <c r="D96" s="4" t="s">
        <v>391</v>
      </c>
    </row>
    <row r="97" spans="1:4" ht="15" customHeight="1" x14ac:dyDescent="0.3">
      <c r="A97" s="12" t="s">
        <v>392</v>
      </c>
      <c r="B97" s="21">
        <v>377.4</v>
      </c>
      <c r="C97" s="7" t="s">
        <v>393</v>
      </c>
      <c r="D97" s="4" t="s">
        <v>394</v>
      </c>
    </row>
  </sheetData>
  <mergeCells count="8">
    <mergeCell ref="A43:E43"/>
    <mergeCell ref="A59:E59"/>
    <mergeCell ref="A85:E85"/>
    <mergeCell ref="A1:E1"/>
    <mergeCell ref="A3:E3"/>
    <mergeCell ref="A9:E9"/>
    <mergeCell ref="A19:E19"/>
    <mergeCell ref="A32:E3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Summary &amp; BOQ</vt:lpstr>
      <vt:lpstr>Material Schedule (Tier 1)</vt:lpstr>
      <vt:lpstr>Manpower &amp; Labor (Tier 1)</vt:lpstr>
      <vt:lpstr>Trade Packages (Tier 2)</vt:lpstr>
      <vt:lpstr>Settings &amp;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nishant</cp:lastModifiedBy>
  <cp:revision>0</cp:revision>
  <dcterms:created xsi:type="dcterms:W3CDTF">2026-08-31T04:12:29Z</dcterms:created>
  <dcterms:modified xsi:type="dcterms:W3CDTF">2026-08-31T10:59:02Z</dcterms:modified>
  <dc:language>en-US</dc:language>
</cp:coreProperties>
</file>